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balaj\OneDrive\Desktop\planning project\"/>
    </mc:Choice>
  </mc:AlternateContent>
  <xr:revisionPtr revIDLastSave="0" documentId="13_ncr:1_{A6F5A849-A65B-4E2A-8F8C-42A7987EDCF5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Answer Report 1" sheetId="1" r:id="rId1"/>
    <sheet name="Weekday Model" sheetId="2" r:id="rId2"/>
    <sheet name="Answer Report 2" sheetId="4" r:id="rId3"/>
    <sheet name="Weekend Model" sheetId="3" r:id="rId4"/>
  </sheets>
  <definedNames>
    <definedName name="solver_adj" localSheetId="1" hidden="1">'Weekday Model'!$D$2:$D$11,'Weekday Model'!$E$2:$E$11</definedName>
    <definedName name="solver_adj" localSheetId="3" hidden="1">'Weekend Model'!$E$2:$E$3</definedName>
    <definedName name="solver_cvg" localSheetId="1" hidden="1">0.0001</definedName>
    <definedName name="solver_cvg" localSheetId="3" hidden="1">0.0001</definedName>
    <definedName name="solver_drv" localSheetId="1" hidden="1">1</definedName>
    <definedName name="solver_drv" localSheetId="3" hidden="1">2</definedName>
    <definedName name="solver_eng" localSheetId="1" hidden="1">2</definedName>
    <definedName name="solver_eng" localSheetId="3" hidden="1">2</definedName>
    <definedName name="solver_est" localSheetId="1" hidden="1">1</definedName>
    <definedName name="solver_est" localSheetId="3" hidden="1">1</definedName>
    <definedName name="solver_itr" localSheetId="1" hidden="1">2147483647</definedName>
    <definedName name="solver_itr" localSheetId="3" hidden="1">2147483647</definedName>
    <definedName name="solver_lhs1" localSheetId="1" hidden="1">'Weekday Model'!$AA$17</definedName>
    <definedName name="solver_lhs1" localSheetId="3" hidden="1">'Weekend Model'!$E$2</definedName>
    <definedName name="solver_lhs10" localSheetId="1" hidden="1">'Weekday Model'!$E$3</definedName>
    <definedName name="solver_lhs10" localSheetId="3" hidden="1">'Weekend Model'!$M$17</definedName>
    <definedName name="solver_lhs11" localSheetId="1" hidden="1">'Weekday Model'!$E$3</definedName>
    <definedName name="solver_lhs11" localSheetId="3" hidden="1">'Weekend Model'!$M$17</definedName>
    <definedName name="solver_lhs12" localSheetId="1" hidden="1">'Weekday Model'!$E$4</definedName>
    <definedName name="solver_lhs12" localSheetId="3" hidden="1">'Weekend Model'!$Q$17</definedName>
    <definedName name="solver_lhs13" localSheetId="1" hidden="1">'Weekday Model'!$E$4</definedName>
    <definedName name="solver_lhs13" localSheetId="3" hidden="1">'Weekend Model'!$Q$17</definedName>
    <definedName name="solver_lhs14" localSheetId="1" hidden="1">'Weekday Model'!$E$5</definedName>
    <definedName name="solver_lhs14" localSheetId="3" hidden="1">'Weekend Model'!$Q$17</definedName>
    <definedName name="solver_lhs15" localSheetId="1" hidden="1">'Weekday Model'!$E$5</definedName>
    <definedName name="solver_lhs15" localSheetId="3" hidden="1">'Weekend Model'!$Q$17</definedName>
    <definedName name="solver_lhs16" localSheetId="1" hidden="1">'Weekday Model'!$E$6</definedName>
    <definedName name="solver_lhs16" localSheetId="3" hidden="1">'Weekend Model'!$Q$17</definedName>
    <definedName name="solver_lhs17" localSheetId="1" hidden="1">'Weekday Model'!$E$6</definedName>
    <definedName name="solver_lhs17" localSheetId="3" hidden="1">'Weekend Model'!$Q$17</definedName>
    <definedName name="solver_lhs18" localSheetId="1" hidden="1">'Weekday Model'!$E$7</definedName>
    <definedName name="solver_lhs18" localSheetId="3" hidden="1">'Weekend Model'!$Q$17</definedName>
    <definedName name="solver_lhs19" localSheetId="1" hidden="1">'Weekday Model'!$E$7</definedName>
    <definedName name="solver_lhs19" localSheetId="3" hidden="1">'Weekend Model'!$Q$17</definedName>
    <definedName name="solver_lhs2" localSheetId="1" hidden="1">'Weekday Model'!$D$2:$D$11</definedName>
    <definedName name="solver_lhs2" localSheetId="3" hidden="1">'Weekend Model'!$E$2</definedName>
    <definedName name="solver_lhs20" localSheetId="1" hidden="1">'Weekday Model'!$E$8</definedName>
    <definedName name="solver_lhs20" localSheetId="3" hidden="1">'Weekend Model'!$Q$17</definedName>
    <definedName name="solver_lhs21" localSheetId="1" hidden="1">'Weekday Model'!$E$8</definedName>
    <definedName name="solver_lhs21" localSheetId="3" hidden="1">'Weekend Model'!$Q$17</definedName>
    <definedName name="solver_lhs22" localSheetId="1" hidden="1">'Weekday Model'!$E$9</definedName>
    <definedName name="solver_lhs22" localSheetId="3" hidden="1">'Weekend Model'!$Q$17</definedName>
    <definedName name="solver_lhs23" localSheetId="1" hidden="1">'Weekday Model'!$E$9</definedName>
    <definedName name="solver_lhs23" localSheetId="3" hidden="1">'Weekend Model'!$Q$17</definedName>
    <definedName name="solver_lhs24" localSheetId="1" hidden="1">'Weekday Model'!$I$17</definedName>
    <definedName name="solver_lhs24" localSheetId="3" hidden="1">'Weekend Model'!$Q$17</definedName>
    <definedName name="solver_lhs25" localSheetId="1" hidden="1">'Weekday Model'!$J$17</definedName>
    <definedName name="solver_lhs25" localSheetId="3" hidden="1">'Weekend Model'!$Q$17</definedName>
    <definedName name="solver_lhs26" localSheetId="1" hidden="1">'Weekday Model'!$K$17</definedName>
    <definedName name="solver_lhs26" localSheetId="3" hidden="1">'Weekend Model'!$Q$17</definedName>
    <definedName name="solver_lhs27" localSheetId="1" hidden="1">'Weekday Model'!$L$17</definedName>
    <definedName name="solver_lhs27" localSheetId="3" hidden="1">'Weekend Model'!$Q$17</definedName>
    <definedName name="solver_lhs28" localSheetId="1" hidden="1">'Weekday Model'!$M$17</definedName>
    <definedName name="solver_lhs28" localSheetId="3" hidden="1">'Weekend Model'!$Q$17</definedName>
    <definedName name="solver_lhs29" localSheetId="1" hidden="1">'Weekday Model'!$N$17</definedName>
    <definedName name="solver_lhs29" localSheetId="3" hidden="1">'Weekend Model'!$Q$17</definedName>
    <definedName name="solver_lhs3" localSheetId="1" hidden="1">'Weekday Model'!$E$10</definedName>
    <definedName name="solver_lhs3" localSheetId="3" hidden="1">'Weekend Model'!$E$2:$E$3</definedName>
    <definedName name="solver_lhs30" localSheetId="1" hidden="1">'Weekday Model'!$O$17</definedName>
    <definedName name="solver_lhs30" localSheetId="3" hidden="1">'Weekend Model'!$Z$17</definedName>
    <definedName name="solver_lhs31" localSheetId="1" hidden="1">'Weekday Model'!$P$17</definedName>
    <definedName name="solver_lhs31" localSheetId="3" hidden="1">'Weekend Model'!$Z$17</definedName>
    <definedName name="solver_lhs32" localSheetId="1" hidden="1">'Weekday Model'!$Q$17</definedName>
    <definedName name="solver_lhs32" localSheetId="3" hidden="1">'Weekend Model'!$Z$17</definedName>
    <definedName name="solver_lhs33" localSheetId="1" hidden="1">'Weekday Model'!$R$17</definedName>
    <definedName name="solver_lhs33" localSheetId="3" hidden="1">'Weekend Model'!$Z$17</definedName>
    <definedName name="solver_lhs34" localSheetId="1" hidden="1">'Weekday Model'!$S$17</definedName>
    <definedName name="solver_lhs34" localSheetId="3" hidden="1">'Weekend Model'!$Z$17</definedName>
    <definedName name="solver_lhs35" localSheetId="1" hidden="1">'Weekday Model'!$T$17</definedName>
    <definedName name="solver_lhs35" localSheetId="3" hidden="1">'Weekend Model'!$Z$17</definedName>
    <definedName name="solver_lhs36" localSheetId="1" hidden="1">'Weekday Model'!$U$17</definedName>
    <definedName name="solver_lhs36" localSheetId="3" hidden="1">'Weekend Model'!$Z$17</definedName>
    <definedName name="solver_lhs37" localSheetId="1" hidden="1">'Weekday Model'!$V$17</definedName>
    <definedName name="solver_lhs37" localSheetId="3" hidden="1">'Weekend Model'!$Z$17</definedName>
    <definedName name="solver_lhs38" localSheetId="1" hidden="1">'Weekday Model'!$W$17</definedName>
    <definedName name="solver_lhs38" localSheetId="3" hidden="1">'Weekend Model'!$Z$17</definedName>
    <definedName name="solver_lhs39" localSheetId="1" hidden="1">'Weekday Model'!$X$17</definedName>
    <definedName name="solver_lhs39" localSheetId="3" hidden="1">'Weekend Model'!$Z$17</definedName>
    <definedName name="solver_lhs4" localSheetId="1" hidden="1">'Weekday Model'!$E$10</definedName>
    <definedName name="solver_lhs4" localSheetId="3" hidden="1">'Weekend Model'!$E$3</definedName>
    <definedName name="solver_lhs40" localSheetId="1" hidden="1">'Weekday Model'!$Y$17</definedName>
    <definedName name="solver_lhs40" localSheetId="3" hidden="1">'Weekend Model'!$Z$17</definedName>
    <definedName name="solver_lhs41" localSheetId="1" hidden="1">'Weekday Model'!$Z$17</definedName>
    <definedName name="solver_lhs41" localSheetId="3" hidden="1">'Weekend Model'!$Z$17</definedName>
    <definedName name="solver_lhs5" localSheetId="1" hidden="1">'Weekday Model'!$E$11</definedName>
    <definedName name="solver_lhs5" localSheetId="3" hidden="1">'Weekend Model'!$E$3</definedName>
    <definedName name="solver_lhs6" localSheetId="1" hidden="1">'Weekday Model'!$E$11</definedName>
    <definedName name="solver_lhs6" localSheetId="3" hidden="1">'Weekend Model'!$I$17</definedName>
    <definedName name="solver_lhs7" localSheetId="1" hidden="1">'Weekday Model'!$E$2</definedName>
    <definedName name="solver_lhs7" localSheetId="3" hidden="1">'Weekend Model'!$J$17</definedName>
    <definedName name="solver_lhs8" localSheetId="1" hidden="1">'Weekday Model'!$E$2</definedName>
    <definedName name="solver_lhs8" localSheetId="3" hidden="1">'Weekend Model'!$K$17</definedName>
    <definedName name="solver_lhs9" localSheetId="1" hidden="1">'Weekday Model'!$E$2:$E$11</definedName>
    <definedName name="solver_lhs9" localSheetId="3" hidden="1">'Weekend Model'!$L$17</definedName>
    <definedName name="solver_mip" localSheetId="1" hidden="1">2147483647</definedName>
    <definedName name="solver_mip" localSheetId="3" hidden="1">2147483647</definedName>
    <definedName name="solver_mni" localSheetId="1" hidden="1">30</definedName>
    <definedName name="solver_mni" localSheetId="3" hidden="1">30</definedName>
    <definedName name="solver_mrt" localSheetId="1" hidden="1">0.075</definedName>
    <definedName name="solver_mrt" localSheetId="3" hidden="1">0.075</definedName>
    <definedName name="solver_msl" localSheetId="1" hidden="1">2</definedName>
    <definedName name="solver_msl" localSheetId="3" hidden="1">2</definedName>
    <definedName name="solver_neg" localSheetId="1" hidden="1">1</definedName>
    <definedName name="solver_neg" localSheetId="3" hidden="1">1</definedName>
    <definedName name="solver_nod" localSheetId="1" hidden="1">2147483647</definedName>
    <definedName name="solver_nod" localSheetId="3" hidden="1">2147483647</definedName>
    <definedName name="solver_num" localSheetId="1" hidden="1">41</definedName>
    <definedName name="solver_num" localSheetId="3" hidden="1">10</definedName>
    <definedName name="solver_nwt" localSheetId="1" hidden="1">1</definedName>
    <definedName name="solver_nwt" localSheetId="3" hidden="1">1</definedName>
    <definedName name="solver_opt" localSheetId="1" hidden="1">'Weekday Model'!$H$15</definedName>
    <definedName name="solver_opt" localSheetId="3" hidden="1">'Weekend Model'!$H$15</definedName>
    <definedName name="solver_pre" localSheetId="1" hidden="1">0.000001</definedName>
    <definedName name="solver_pre" localSheetId="3" hidden="1">0.000001</definedName>
    <definedName name="solver_rbv" localSheetId="1" hidden="1">1</definedName>
    <definedName name="solver_rbv" localSheetId="3" hidden="1">2</definedName>
    <definedName name="solver_rel1" localSheetId="1" hidden="1">3</definedName>
    <definedName name="solver_rel1" localSheetId="3" hidden="1">3</definedName>
    <definedName name="solver_rel10" localSheetId="1" hidden="1">1</definedName>
    <definedName name="solver_rel10" localSheetId="3" hidden="1">3</definedName>
    <definedName name="solver_rel11" localSheetId="1" hidden="1">3</definedName>
    <definedName name="solver_rel11" localSheetId="3" hidden="1">3</definedName>
    <definedName name="solver_rel12" localSheetId="1" hidden="1">1</definedName>
    <definedName name="solver_rel12" localSheetId="3" hidden="1">3</definedName>
    <definedName name="solver_rel13" localSheetId="1" hidden="1">3</definedName>
    <definedName name="solver_rel13" localSheetId="3" hidden="1">3</definedName>
    <definedName name="solver_rel14" localSheetId="1" hidden="1">1</definedName>
    <definedName name="solver_rel14" localSheetId="3" hidden="1">3</definedName>
    <definedName name="solver_rel15" localSheetId="1" hidden="1">3</definedName>
    <definedName name="solver_rel15" localSheetId="3" hidden="1">3</definedName>
    <definedName name="solver_rel16" localSheetId="1" hidden="1">1</definedName>
    <definedName name="solver_rel16" localSheetId="3" hidden="1">3</definedName>
    <definedName name="solver_rel17" localSheetId="1" hidden="1">3</definedName>
    <definedName name="solver_rel17" localSheetId="3" hidden="1">3</definedName>
    <definedName name="solver_rel18" localSheetId="1" hidden="1">1</definedName>
    <definedName name="solver_rel18" localSheetId="3" hidden="1">3</definedName>
    <definedName name="solver_rel19" localSheetId="1" hidden="1">3</definedName>
    <definedName name="solver_rel19" localSheetId="3" hidden="1">3</definedName>
    <definedName name="solver_rel2" localSheetId="1" hidden="1">5</definedName>
    <definedName name="solver_rel2" localSheetId="3" hidden="1">3</definedName>
    <definedName name="solver_rel20" localSheetId="1" hidden="1">1</definedName>
    <definedName name="solver_rel20" localSheetId="3" hidden="1">3</definedName>
    <definedName name="solver_rel21" localSheetId="1" hidden="1">3</definedName>
    <definedName name="solver_rel21" localSheetId="3" hidden="1">3</definedName>
    <definedName name="solver_rel22" localSheetId="1" hidden="1">1</definedName>
    <definedName name="solver_rel22" localSheetId="3" hidden="1">3</definedName>
    <definedName name="solver_rel23" localSheetId="1" hidden="1">3</definedName>
    <definedName name="solver_rel23" localSheetId="3" hidden="1">3</definedName>
    <definedName name="solver_rel24" localSheetId="1" hidden="1">3</definedName>
    <definedName name="solver_rel24" localSheetId="3" hidden="1">3</definedName>
    <definedName name="solver_rel25" localSheetId="1" hidden="1">3</definedName>
    <definedName name="solver_rel25" localSheetId="3" hidden="1">3</definedName>
    <definedName name="solver_rel26" localSheetId="1" hidden="1">3</definedName>
    <definedName name="solver_rel26" localSheetId="3" hidden="1">3</definedName>
    <definedName name="solver_rel27" localSheetId="1" hidden="1">3</definedName>
    <definedName name="solver_rel27" localSheetId="3" hidden="1">3</definedName>
    <definedName name="solver_rel28" localSheetId="1" hidden="1">3</definedName>
    <definedName name="solver_rel28" localSheetId="3" hidden="1">3</definedName>
    <definedName name="solver_rel29" localSheetId="1" hidden="1">3</definedName>
    <definedName name="solver_rel29" localSheetId="3" hidden="1">3</definedName>
    <definedName name="solver_rel3" localSheetId="1" hidden="1">1</definedName>
    <definedName name="solver_rel3" localSheetId="3" hidden="1">4</definedName>
    <definedName name="solver_rel30" localSheetId="1" hidden="1">3</definedName>
    <definedName name="solver_rel30" localSheetId="3" hidden="1">3</definedName>
    <definedName name="solver_rel31" localSheetId="1" hidden="1">3</definedName>
    <definedName name="solver_rel31" localSheetId="3" hidden="1">3</definedName>
    <definedName name="solver_rel32" localSheetId="1" hidden="1">3</definedName>
    <definedName name="solver_rel32" localSheetId="3" hidden="1">3</definedName>
    <definedName name="solver_rel33" localSheetId="1" hidden="1">3</definedName>
    <definedName name="solver_rel33" localSheetId="3" hidden="1">3</definedName>
    <definedName name="solver_rel34" localSheetId="1" hidden="1">3</definedName>
    <definedName name="solver_rel34" localSheetId="3" hidden="1">3</definedName>
    <definedName name="solver_rel35" localSheetId="1" hidden="1">3</definedName>
    <definedName name="solver_rel35" localSheetId="3" hidden="1">3</definedName>
    <definedName name="solver_rel36" localSheetId="1" hidden="1">3</definedName>
    <definedName name="solver_rel36" localSheetId="3" hidden="1">3</definedName>
    <definedName name="solver_rel37" localSheetId="1" hidden="1">3</definedName>
    <definedName name="solver_rel37" localSheetId="3" hidden="1">3</definedName>
    <definedName name="solver_rel38" localSheetId="1" hidden="1">3</definedName>
    <definedName name="solver_rel38" localSheetId="3" hidden="1">3</definedName>
    <definedName name="solver_rel39" localSheetId="1" hidden="1">3</definedName>
    <definedName name="solver_rel39" localSheetId="3" hidden="1">3</definedName>
    <definedName name="solver_rel4" localSheetId="1" hidden="1">3</definedName>
    <definedName name="solver_rel4" localSheetId="3" hidden="1">2</definedName>
    <definedName name="solver_rel40" localSheetId="1" hidden="1">3</definedName>
    <definedName name="solver_rel40" localSheetId="3" hidden="1">3</definedName>
    <definedName name="solver_rel41" localSheetId="1" hidden="1">3</definedName>
    <definedName name="solver_rel41" localSheetId="3" hidden="1">3</definedName>
    <definedName name="solver_rel5" localSheetId="1" hidden="1">1</definedName>
    <definedName name="solver_rel5" localSheetId="3" hidden="1">3</definedName>
    <definedName name="solver_rel6" localSheetId="1" hidden="1">3</definedName>
    <definedName name="solver_rel6" localSheetId="3" hidden="1">3</definedName>
    <definedName name="solver_rel7" localSheetId="1" hidden="1">1</definedName>
    <definedName name="solver_rel7" localSheetId="3" hidden="1">3</definedName>
    <definedName name="solver_rel8" localSheetId="1" hidden="1">3</definedName>
    <definedName name="solver_rel8" localSheetId="3" hidden="1">3</definedName>
    <definedName name="solver_rel9" localSheetId="1" hidden="1">4</definedName>
    <definedName name="solver_rel9" localSheetId="3" hidden="1">3</definedName>
    <definedName name="solver_rhs1" localSheetId="1" hidden="1">1</definedName>
    <definedName name="solver_rhs1" localSheetId="3" hidden="1">'Weekend Model'!$D$2</definedName>
    <definedName name="solver_rhs10" localSheetId="1" hidden="1">10*'Weekday Model'!$D$3</definedName>
    <definedName name="solver_rhs10" localSheetId="3" hidden="1">1</definedName>
    <definedName name="solver_rhs11" localSheetId="1" hidden="1">'Weekday Model'!$D$3</definedName>
    <definedName name="solver_rhs11" localSheetId="3" hidden="1">1</definedName>
    <definedName name="solver_rhs12" localSheetId="1" hidden="1">10*'Weekday Model'!$D$4</definedName>
    <definedName name="solver_rhs12" localSheetId="3" hidden="1">1</definedName>
    <definedName name="solver_rhs13" localSheetId="1" hidden="1">'Weekday Model'!$D$4</definedName>
    <definedName name="solver_rhs13" localSheetId="3" hidden="1">1</definedName>
    <definedName name="solver_rhs14" localSheetId="1" hidden="1">10*'Weekday Model'!$D$5</definedName>
    <definedName name="solver_rhs14" localSheetId="3" hidden="1">1</definedName>
    <definedName name="solver_rhs15" localSheetId="1" hidden="1">'Weekday Model'!$D$5</definedName>
    <definedName name="solver_rhs15" localSheetId="3" hidden="1">1</definedName>
    <definedName name="solver_rhs16" localSheetId="1" hidden="1">10*'Weekday Model'!$D$6</definedName>
    <definedName name="solver_rhs16" localSheetId="3" hidden="1">1</definedName>
    <definedName name="solver_rhs17" localSheetId="1" hidden="1">'Weekday Model'!$D$6</definedName>
    <definedName name="solver_rhs17" localSheetId="3" hidden="1">1</definedName>
    <definedName name="solver_rhs18" localSheetId="1" hidden="1">10*'Weekday Model'!$D$7</definedName>
    <definedName name="solver_rhs18" localSheetId="3" hidden="1">1</definedName>
    <definedName name="solver_rhs19" localSheetId="1" hidden="1">'Weekday Model'!$D$7</definedName>
    <definedName name="solver_rhs19" localSheetId="3" hidden="1">1</definedName>
    <definedName name="solver_rhs2" localSheetId="1" hidden="1">"binary"</definedName>
    <definedName name="solver_rhs2" localSheetId="3" hidden="1">1</definedName>
    <definedName name="solver_rhs20" localSheetId="1" hidden="1">10*'Weekday Model'!$D$8</definedName>
    <definedName name="solver_rhs20" localSheetId="3" hidden="1">1</definedName>
    <definedName name="solver_rhs21" localSheetId="1" hidden="1">'Weekday Model'!$D$8</definedName>
    <definedName name="solver_rhs21" localSheetId="3" hidden="1">1</definedName>
    <definedName name="solver_rhs22" localSheetId="1" hidden="1">10*'Weekday Model'!$D$9</definedName>
    <definedName name="solver_rhs22" localSheetId="3" hidden="1">1</definedName>
    <definedName name="solver_rhs23" localSheetId="1" hidden="1">'Weekday Model'!$D$9</definedName>
    <definedName name="solver_rhs23" localSheetId="3" hidden="1">1</definedName>
    <definedName name="solver_rhs24" localSheetId="1" hidden="1">1</definedName>
    <definedName name="solver_rhs24" localSheetId="3" hidden="1">1</definedName>
    <definedName name="solver_rhs25" localSheetId="1" hidden="1">1</definedName>
    <definedName name="solver_rhs25" localSheetId="3" hidden="1">1</definedName>
    <definedName name="solver_rhs26" localSheetId="1" hidden="1">1</definedName>
    <definedName name="solver_rhs26" localSheetId="3" hidden="1">1</definedName>
    <definedName name="solver_rhs27" localSheetId="1" hidden="1">1</definedName>
    <definedName name="solver_rhs27" localSheetId="3" hidden="1">1</definedName>
    <definedName name="solver_rhs28" localSheetId="1" hidden="1">1</definedName>
    <definedName name="solver_rhs28" localSheetId="3" hidden="1">1</definedName>
    <definedName name="solver_rhs29" localSheetId="1" hidden="1">1</definedName>
    <definedName name="solver_rhs29" localSheetId="3" hidden="1">1</definedName>
    <definedName name="solver_rhs3" localSheetId="1" hidden="1">10*'Weekday Model'!$D$10</definedName>
    <definedName name="solver_rhs3" localSheetId="3" hidden="1">"integer"</definedName>
    <definedName name="solver_rhs30" localSheetId="1" hidden="1">1</definedName>
    <definedName name="solver_rhs30" localSheetId="3" hidden="1">1</definedName>
    <definedName name="solver_rhs31" localSheetId="1" hidden="1">1</definedName>
    <definedName name="solver_rhs31" localSheetId="3" hidden="1">1</definedName>
    <definedName name="solver_rhs32" localSheetId="1" hidden="1">1</definedName>
    <definedName name="solver_rhs32" localSheetId="3" hidden="1">1</definedName>
    <definedName name="solver_rhs33" localSheetId="1" hidden="1">1</definedName>
    <definedName name="solver_rhs33" localSheetId="3" hidden="1">1</definedName>
    <definedName name="solver_rhs34" localSheetId="1" hidden="1">1</definedName>
    <definedName name="solver_rhs34" localSheetId="3" hidden="1">1</definedName>
    <definedName name="solver_rhs35" localSheetId="1" hidden="1">1</definedName>
    <definedName name="solver_rhs35" localSheetId="3" hidden="1">1</definedName>
    <definedName name="solver_rhs36" localSheetId="1" hidden="1">1</definedName>
    <definedName name="solver_rhs36" localSheetId="3" hidden="1">1</definedName>
    <definedName name="solver_rhs37" localSheetId="1" hidden="1">1</definedName>
    <definedName name="solver_rhs37" localSheetId="3" hidden="1">1</definedName>
    <definedName name="solver_rhs38" localSheetId="1" hidden="1">1</definedName>
    <definedName name="solver_rhs38" localSheetId="3" hidden="1">1</definedName>
    <definedName name="solver_rhs39" localSheetId="1" hidden="1">1</definedName>
    <definedName name="solver_rhs39" localSheetId="3" hidden="1">1</definedName>
    <definedName name="solver_rhs4" localSheetId="1" hidden="1">'Weekday Model'!$D$10</definedName>
    <definedName name="solver_rhs4" localSheetId="3" hidden="1">0</definedName>
    <definedName name="solver_rhs40" localSheetId="1" hidden="1">1</definedName>
    <definedName name="solver_rhs40" localSheetId="3" hidden="1">1</definedName>
    <definedName name="solver_rhs41" localSheetId="1" hidden="1">1</definedName>
    <definedName name="solver_rhs41" localSheetId="3" hidden="1">1</definedName>
    <definedName name="solver_rhs5" localSheetId="1" hidden="1">10*'Weekday Model'!$D$11</definedName>
    <definedName name="solver_rhs5" localSheetId="3" hidden="1">'Weekend Model'!$D$3</definedName>
    <definedName name="solver_rhs6" localSheetId="1" hidden="1">'Weekday Model'!$D$11</definedName>
    <definedName name="solver_rhs6" localSheetId="3" hidden="1">1</definedName>
    <definedName name="solver_rhs7" localSheetId="1" hidden="1">10*'Weekday Model'!$D$2</definedName>
    <definedName name="solver_rhs7" localSheetId="3" hidden="1">1</definedName>
    <definedName name="solver_rhs8" localSheetId="1" hidden="1">'Weekday Model'!$D$2</definedName>
    <definedName name="solver_rhs8" localSheetId="3" hidden="1">1</definedName>
    <definedName name="solver_rhs9" localSheetId="1" hidden="1">"integer"</definedName>
    <definedName name="solver_rhs9" localSheetId="3" hidden="1">1</definedName>
    <definedName name="solver_rlx" localSheetId="1" hidden="1">2</definedName>
    <definedName name="solver_rlx" localSheetId="3" hidden="1">2</definedName>
    <definedName name="solver_rsd" localSheetId="1" hidden="1">0</definedName>
    <definedName name="solver_rsd" localSheetId="3" hidden="1">0</definedName>
    <definedName name="solver_scl" localSheetId="1" hidden="1">1</definedName>
    <definedName name="solver_scl" localSheetId="3" hidden="1">2</definedName>
    <definedName name="solver_sho" localSheetId="1" hidden="1">2</definedName>
    <definedName name="solver_sho" localSheetId="3" hidden="1">2</definedName>
    <definedName name="solver_ssz" localSheetId="1" hidden="1">100</definedName>
    <definedName name="solver_ssz" localSheetId="3" hidden="1">100</definedName>
    <definedName name="solver_tim" localSheetId="1" hidden="1">2147483647</definedName>
    <definedName name="solver_tim" localSheetId="3" hidden="1">2147483647</definedName>
    <definedName name="solver_tol" localSheetId="1" hidden="1">0.01</definedName>
    <definedName name="solver_tol" localSheetId="3" hidden="1">0.01</definedName>
    <definedName name="solver_typ" localSheetId="1" hidden="1">2</definedName>
    <definedName name="solver_typ" localSheetId="3" hidden="1">2</definedName>
    <definedName name="solver_val" localSheetId="1" hidden="1">0</definedName>
    <definedName name="solver_val" localSheetId="3" hidden="1">0</definedName>
    <definedName name="solver_ver" localSheetId="1" hidden="1">3</definedName>
    <definedName name="solver_ver" localSheetId="3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7" i="3" l="1"/>
  <c r="L17" i="3"/>
  <c r="K17" i="3"/>
  <c r="J17" i="3"/>
  <c r="I17" i="3"/>
  <c r="G3" i="3"/>
  <c r="F3" i="3"/>
  <c r="G2" i="3"/>
  <c r="F2" i="3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G11" i="2"/>
  <c r="F11" i="2"/>
  <c r="G10" i="2"/>
  <c r="F10" i="2"/>
  <c r="G9" i="2"/>
  <c r="F9" i="2"/>
  <c r="G8" i="2"/>
  <c r="F8" i="2"/>
  <c r="G7" i="2"/>
  <c r="F7" i="2"/>
  <c r="G6" i="2"/>
  <c r="F6" i="2"/>
  <c r="G5" i="2"/>
  <c r="F5" i="2"/>
  <c r="G4" i="2"/>
  <c r="F4" i="2"/>
  <c r="G3" i="2"/>
  <c r="F3" i="2"/>
  <c r="G2" i="2"/>
  <c r="F2" i="2"/>
  <c r="H10" i="2" l="1"/>
  <c r="H9" i="2"/>
  <c r="H6" i="2"/>
  <c r="H4" i="2"/>
  <c r="H7" i="2"/>
  <c r="H11" i="2"/>
  <c r="H3" i="2"/>
  <c r="H2" i="2"/>
  <c r="G15" i="2"/>
  <c r="H5" i="2"/>
  <c r="H8" i="2"/>
  <c r="G15" i="3"/>
  <c r="F15" i="3"/>
  <c r="H2" i="3"/>
  <c r="H3" i="3"/>
  <c r="F15" i="2"/>
  <c r="H15" i="2" l="1"/>
  <c r="H15" i="3"/>
</calcChain>
</file>

<file path=xl/sharedStrings.xml><?xml version="1.0" encoding="utf-8"?>
<sst xmlns="http://schemas.openxmlformats.org/spreadsheetml/2006/main" count="395" uniqueCount="181">
  <si>
    <t>Microsoft Excel 16.0 Answer Report</t>
  </si>
  <si>
    <t>Worksheet: [Final_Full_Coverage_Rutgers_Shuttle_Optimization.xlsx]Weekday Model</t>
  </si>
  <si>
    <t>Report Created: 27/04/2025 4:55:49 pm</t>
  </si>
  <si>
    <t>Result: Solver found a solution.  All Constraints and optimality conditions are satisfied.</t>
  </si>
  <si>
    <t>Solver Engine</t>
  </si>
  <si>
    <t>Engine: Simplex LP</t>
  </si>
  <si>
    <t>Solution Time: 0.031 Seconds.</t>
  </si>
  <si>
    <t>Iterations: 44 Subproblems: 0</t>
  </si>
  <si>
    <t>Solver Options</t>
  </si>
  <si>
    <t>Max Time Unlimited,  Iterations Unlimited, Precision 0.000001, Use Automatic Scaling</t>
  </si>
  <si>
    <t>Max Subproblems Unlimited, Max Integer Sols Unlimited, Integer Tolerance 1%, Assume NonNegative</t>
  </si>
  <si>
    <t>Objective Cell (Min)</t>
  </si>
  <si>
    <t>Cell</t>
  </si>
  <si>
    <t>Name</t>
  </si>
  <si>
    <t>Original Value</t>
  </si>
  <si>
    <t>Final Value</t>
  </si>
  <si>
    <t>$H$15</t>
  </si>
  <si>
    <t>Total Objective Value Total Route Time</t>
  </si>
  <si>
    <t>Variable Cells</t>
  </si>
  <si>
    <t>Integer</t>
  </si>
  <si>
    <t>$D$2</t>
  </si>
  <si>
    <t>A Operate?</t>
  </si>
  <si>
    <t>Binary</t>
  </si>
  <si>
    <t>$D$3</t>
  </si>
  <si>
    <t>B Operate?</t>
  </si>
  <si>
    <t>$D$4</t>
  </si>
  <si>
    <t>C Operate?</t>
  </si>
  <si>
    <t>$D$5</t>
  </si>
  <si>
    <t>EE Operate?</t>
  </si>
  <si>
    <t>$D$6</t>
  </si>
  <si>
    <t>F Operate?</t>
  </si>
  <si>
    <t>$D$7</t>
  </si>
  <si>
    <t>H Operate?</t>
  </si>
  <si>
    <t>$D$8</t>
  </si>
  <si>
    <t>LX Operate?</t>
  </si>
  <si>
    <t>$D$9</t>
  </si>
  <si>
    <t>REXB Operate?</t>
  </si>
  <si>
    <t>$D$10</t>
  </si>
  <si>
    <t>REXL Operate?</t>
  </si>
  <si>
    <t>$D$11</t>
  </si>
  <si>
    <t>BL Operate?</t>
  </si>
  <si>
    <t>$E$2</t>
  </si>
  <si>
    <t>A # Buses</t>
  </si>
  <si>
    <t>$E$3</t>
  </si>
  <si>
    <t>B # Buses</t>
  </si>
  <si>
    <t>$E$4</t>
  </si>
  <si>
    <t>C # Buses</t>
  </si>
  <si>
    <t>$E$5</t>
  </si>
  <si>
    <t>EE # Buses</t>
  </si>
  <si>
    <t>$E$6</t>
  </si>
  <si>
    <t>F # Buses</t>
  </si>
  <si>
    <t>$E$7</t>
  </si>
  <si>
    <t>H # Buses</t>
  </si>
  <si>
    <t>$E$8</t>
  </si>
  <si>
    <t>LX # Buses</t>
  </si>
  <si>
    <t>$E$9</t>
  </si>
  <si>
    <t>REXB # Buses</t>
  </si>
  <si>
    <t>$E$10</t>
  </si>
  <si>
    <t>REXL # Buses</t>
  </si>
  <si>
    <t>$E$11</t>
  </si>
  <si>
    <t>BL # Buses</t>
  </si>
  <si>
    <t>Constraints</t>
  </si>
  <si>
    <t>Cell Value</t>
  </si>
  <si>
    <t>Formula</t>
  </si>
  <si>
    <t>Status</t>
  </si>
  <si>
    <t>Slack</t>
  </si>
  <si>
    <t>$AA$17</t>
  </si>
  <si>
    <t>Werblin</t>
  </si>
  <si>
    <t>$AA$17&gt;=1</t>
  </si>
  <si>
    <t>Binding</t>
  </si>
  <si>
    <t>$E$10&lt;=10*$D$10</t>
  </si>
  <si>
    <t>$E$10&gt;=$D$10</t>
  </si>
  <si>
    <t>$E$11&lt;=10*$D$11</t>
  </si>
  <si>
    <t>$E$11&gt;=$D$11</t>
  </si>
  <si>
    <t>$E$2&lt;=10*$D$2</t>
  </si>
  <si>
    <t>$E$2&gt;=$D$2</t>
  </si>
  <si>
    <t>$E$3&lt;=10*$D$3</t>
  </si>
  <si>
    <t>$E$3&gt;=$D$3</t>
  </si>
  <si>
    <t>$E$4&lt;=10*$D$4</t>
  </si>
  <si>
    <t>$E$4&gt;=$D$4</t>
  </si>
  <si>
    <t>$E$5&lt;=10*$D$5</t>
  </si>
  <si>
    <t>Not Binding</t>
  </si>
  <si>
    <t>$E$5&gt;=$D$5</t>
  </si>
  <si>
    <t>$E$6&lt;=10*$D$6</t>
  </si>
  <si>
    <t>$E$6&gt;=$D$6</t>
  </si>
  <si>
    <t>$E$7&lt;=10*$D$7</t>
  </si>
  <si>
    <t>$E$7&gt;=$D$7</t>
  </si>
  <si>
    <t>$E$8&lt;=10*$D$8</t>
  </si>
  <si>
    <t>$E$8&gt;=$D$8</t>
  </si>
  <si>
    <t>$E$9&lt;=10*$D$9</t>
  </si>
  <si>
    <t>$E$9&gt;=$D$9</t>
  </si>
  <si>
    <t>$I$17</t>
  </si>
  <si>
    <t>CASC</t>
  </si>
  <si>
    <t>$I$17&gt;=1</t>
  </si>
  <si>
    <t>$J$17</t>
  </si>
  <si>
    <t>BSC</t>
  </si>
  <si>
    <t>$J$17&gt;=1</t>
  </si>
  <si>
    <t>$K$17</t>
  </si>
  <si>
    <t>LSC</t>
  </si>
  <si>
    <t>$K$17&gt;=1</t>
  </si>
  <si>
    <t>$L$17</t>
  </si>
  <si>
    <t>CDC</t>
  </si>
  <si>
    <t>$L$17&gt;=1</t>
  </si>
  <si>
    <t>$M$17</t>
  </si>
  <si>
    <t>SAC</t>
  </si>
  <si>
    <t>$M$17&gt;=1</t>
  </si>
  <si>
    <t>$N$17</t>
  </si>
  <si>
    <t>Yard</t>
  </si>
  <si>
    <t>$N$17&gt;=1</t>
  </si>
  <si>
    <t>$O$17</t>
  </si>
  <si>
    <t>Science</t>
  </si>
  <si>
    <t>$O$17&gt;=1</t>
  </si>
  <si>
    <t>$P$17</t>
  </si>
  <si>
    <t>Hill</t>
  </si>
  <si>
    <t>$P$17&gt;=1</t>
  </si>
  <si>
    <t>$Q$17</t>
  </si>
  <si>
    <t>Quads</t>
  </si>
  <si>
    <t>$Q$17&gt;=1</t>
  </si>
  <si>
    <t>$R$17</t>
  </si>
  <si>
    <t>Red Oak</t>
  </si>
  <si>
    <t>$R$17&gt;=1</t>
  </si>
  <si>
    <t>$S$17</t>
  </si>
  <si>
    <t>Lipman</t>
  </si>
  <si>
    <t>$S$17&gt;=1</t>
  </si>
  <si>
    <t>$T$17</t>
  </si>
  <si>
    <t>College Hall</t>
  </si>
  <si>
    <t>$T$17&gt;=1</t>
  </si>
  <si>
    <t>$U$17</t>
  </si>
  <si>
    <t>Liv Plaza</t>
  </si>
  <si>
    <t>$U$17&gt;=1</t>
  </si>
  <si>
    <t>$V$17</t>
  </si>
  <si>
    <t>Downtown NB</t>
  </si>
  <si>
    <t>$V$17&gt;=1</t>
  </si>
  <si>
    <t>$W$17</t>
  </si>
  <si>
    <t>SoCam</t>
  </si>
  <si>
    <t>$W$17&gt;=1</t>
  </si>
  <si>
    <t>$X$17</t>
  </si>
  <si>
    <t>Biel</t>
  </si>
  <si>
    <t>$X$17&gt;=1</t>
  </si>
  <si>
    <t>$Y$17</t>
  </si>
  <si>
    <t>Gibbons</t>
  </si>
  <si>
    <t>$Y$17&gt;=1</t>
  </si>
  <si>
    <t>$Z$17</t>
  </si>
  <si>
    <t>Stadium</t>
  </si>
  <si>
    <t>$Z$17&gt;=1</t>
  </si>
  <si>
    <t>$D$2:$D$11=Binary</t>
  </si>
  <si>
    <t>$E$2:$E$11=Integer</t>
  </si>
  <si>
    <t>Route</t>
  </si>
  <si>
    <t>P_r</t>
  </si>
  <si>
    <t>T_r</t>
  </si>
  <si>
    <t>Operate?(y_r)</t>
  </si>
  <si>
    <t># Buses</t>
  </si>
  <si>
    <t>In-Vehicle Time (P_r * T_r * y_r)</t>
  </si>
  <si>
    <t>Bus Cost (500 * x_r)</t>
  </si>
  <si>
    <t>Total Route Time</t>
  </si>
  <si>
    <t>A</t>
  </si>
  <si>
    <t>B</t>
  </si>
  <si>
    <t>C</t>
  </si>
  <si>
    <t>EE</t>
  </si>
  <si>
    <t>F</t>
  </si>
  <si>
    <t>H</t>
  </si>
  <si>
    <t>LX</t>
  </si>
  <si>
    <t>REXB</t>
  </si>
  <si>
    <t>REXL</t>
  </si>
  <si>
    <t>BL</t>
  </si>
  <si>
    <t>Total Passenger Travel Time</t>
  </si>
  <si>
    <t>Total Bus Cost</t>
  </si>
  <si>
    <t>Total Objective Value</t>
  </si>
  <si>
    <t>Operate?</t>
  </si>
  <si>
    <t>Weekend 1</t>
  </si>
  <si>
    <t>Weekend 2</t>
  </si>
  <si>
    <t>Worksheet: [Final_Fixed_Corrected_Weekend_Model.xlsx]Weekend Model</t>
  </si>
  <si>
    <t>Report Created: 27/04/2025 11:09:25 pm</t>
  </si>
  <si>
    <t>Solution Time: 0 Seconds.</t>
  </si>
  <si>
    <t>Iterations: 0 Subproblems: 0</t>
  </si>
  <si>
    <t>Max Time Unlimited,  Iterations Unlimited, Precision 0.000001</t>
  </si>
  <si>
    <t>Weekend 1 # Buses</t>
  </si>
  <si>
    <t>Weekend 2 # Buses</t>
  </si>
  <si>
    <t>$E$2&gt;=1</t>
  </si>
  <si>
    <t>$E$3=0</t>
  </si>
  <si>
    <t>$E$2:$E$3=Integer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</si>
</sst>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EB9C"/>
        <bgColor rgb="FFFFEB9C"/>
      </patternFill>
    </fill>
    <fill>
      <patternFill patternType="solid">
        <fgColor rgb="FFB8CCE4"/>
        <bgColor rgb="FFB8CCE4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/>
      <bottom style="thick">
        <color theme="4" tint="0.499984740745262"/>
      </bottom>
      <diagonal/>
    </border>
  </borders>
  <cellStyleXfs count="3">
    <xf numFmtId="0" fontId="0" fillId="0" borderId="0"/>
    <xf numFmtId="0" fontId="4" fillId="0" borderId="4" applyNumberFormat="0" applyFill="0" applyAlignment="0" applyProtection="0"/>
    <xf numFmtId="0" fontId="5" fillId="9" borderId="0" applyNumberFormat="0" applyBorder="0" applyAlignment="0" applyProtection="0"/>
  </cellStyleXfs>
  <cellXfs count="17">
    <xf numFmtId="0" fontId="0" fillId="0" borderId="0" xfId="0"/>
    <xf numFmtId="0" fontId="0" fillId="3" borderId="0" xfId="0" applyFill="1"/>
    <xf numFmtId="0" fontId="0" fillId="2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1" fillId="0" borderId="0" xfId="0" applyFont="1"/>
    <xf numFmtId="0" fontId="0" fillId="0" borderId="2" xfId="0" applyBorder="1"/>
    <xf numFmtId="0" fontId="2" fillId="0" borderId="1" xfId="0" applyFont="1" applyBorder="1" applyAlignment="1">
      <alignment horizontal="center"/>
    </xf>
    <xf numFmtId="0" fontId="0" fillId="0" borderId="3" xfId="0" applyBorder="1"/>
    <xf numFmtId="0" fontId="3" fillId="0" borderId="0" xfId="0" applyFont="1"/>
    <xf numFmtId="0" fontId="4" fillId="0" borderId="4" xfId="1"/>
    <xf numFmtId="0" fontId="4" fillId="2" borderId="4" xfId="1" applyFill="1"/>
    <xf numFmtId="0" fontId="0" fillId="10" borderId="0" xfId="0" applyFill="1"/>
    <xf numFmtId="0" fontId="5" fillId="9" borderId="0" xfId="2"/>
  </cellXfs>
  <cellStyles count="3">
    <cellStyle name="Good" xfId="2" builtinId="26"/>
    <cellStyle name="Heading 2" xfId="1" builtinId="1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5"/>
  <sheetViews>
    <sheetView showGridLines="0" topLeftCell="A58" workbookViewId="0">
      <selection activeCell="K53" sqref="K53"/>
    </sheetView>
  </sheetViews>
  <sheetFormatPr defaultRowHeight="15" x14ac:dyDescent="0.25"/>
  <cols>
    <col min="1" max="1" width="2.28515625" customWidth="1"/>
    <col min="2" max="2" width="18.28515625" bestFit="1" customWidth="1"/>
    <col min="3" max="3" width="36.28515625" bestFit="1" customWidth="1"/>
    <col min="4" max="4" width="13.7109375" bestFit="1" customWidth="1"/>
    <col min="5" max="5" width="16.42578125" bestFit="1" customWidth="1"/>
    <col min="6" max="6" width="11.42578125" bestFit="1" customWidth="1"/>
    <col min="7" max="7" width="5.42578125" bestFit="1" customWidth="1"/>
  </cols>
  <sheetData>
    <row r="1" spans="1:5" x14ac:dyDescent="0.25">
      <c r="A1" s="8" t="s">
        <v>0</v>
      </c>
    </row>
    <row r="2" spans="1:5" x14ac:dyDescent="0.25">
      <c r="A2" s="8" t="s">
        <v>1</v>
      </c>
    </row>
    <row r="3" spans="1:5" x14ac:dyDescent="0.25">
      <c r="A3" s="8" t="s">
        <v>2</v>
      </c>
    </row>
    <row r="4" spans="1:5" x14ac:dyDescent="0.25">
      <c r="A4" s="8" t="s">
        <v>3</v>
      </c>
    </row>
    <row r="5" spans="1:5" x14ac:dyDescent="0.25">
      <c r="A5" s="8" t="s">
        <v>4</v>
      </c>
    </row>
    <row r="6" spans="1:5" x14ac:dyDescent="0.25">
      <c r="A6" s="8"/>
      <c r="B6" t="s">
        <v>5</v>
      </c>
    </row>
    <row r="7" spans="1:5" x14ac:dyDescent="0.25">
      <c r="A7" s="8"/>
      <c r="B7" t="s">
        <v>6</v>
      </c>
    </row>
    <row r="8" spans="1:5" x14ac:dyDescent="0.25">
      <c r="A8" s="8"/>
      <c r="B8" t="s">
        <v>7</v>
      </c>
    </row>
    <row r="9" spans="1:5" x14ac:dyDescent="0.25">
      <c r="A9" s="8" t="s">
        <v>8</v>
      </c>
    </row>
    <row r="10" spans="1:5" x14ac:dyDescent="0.25">
      <c r="B10" t="s">
        <v>9</v>
      </c>
    </row>
    <row r="11" spans="1:5" x14ac:dyDescent="0.25">
      <c r="B11" t="s">
        <v>10</v>
      </c>
    </row>
    <row r="14" spans="1:5" ht="15.75" customHeight="1" thickBot="1" x14ac:dyDescent="0.3">
      <c r="A14" t="s">
        <v>11</v>
      </c>
    </row>
    <row r="15" spans="1:5" ht="15.75" customHeight="1" thickBot="1" x14ac:dyDescent="0.3">
      <c r="B15" s="10" t="s">
        <v>12</v>
      </c>
      <c r="C15" s="10" t="s">
        <v>13</v>
      </c>
      <c r="D15" s="10" t="s">
        <v>14</v>
      </c>
      <c r="E15" s="10" t="s">
        <v>15</v>
      </c>
    </row>
    <row r="16" spans="1:5" ht="15.75" customHeight="1" thickBot="1" x14ac:dyDescent="0.3">
      <c r="B16" s="9" t="s">
        <v>16</v>
      </c>
      <c r="C16" s="9" t="s">
        <v>17</v>
      </c>
      <c r="D16" s="9">
        <v>0</v>
      </c>
      <c r="E16" s="9">
        <v>2170</v>
      </c>
    </row>
    <row r="19" spans="1:6" ht="15.75" customHeight="1" thickBot="1" x14ac:dyDescent="0.3">
      <c r="A19" t="s">
        <v>18</v>
      </c>
    </row>
    <row r="20" spans="1:6" ht="15.75" customHeight="1" thickBot="1" x14ac:dyDescent="0.3">
      <c r="B20" s="10" t="s">
        <v>12</v>
      </c>
      <c r="C20" s="10" t="s">
        <v>13</v>
      </c>
      <c r="D20" s="10" t="s">
        <v>14</v>
      </c>
      <c r="E20" s="10" t="s">
        <v>15</v>
      </c>
      <c r="F20" s="10" t="s">
        <v>19</v>
      </c>
    </row>
    <row r="21" spans="1:6" x14ac:dyDescent="0.25">
      <c r="B21" s="11" t="s">
        <v>20</v>
      </c>
      <c r="C21" s="11" t="s">
        <v>21</v>
      </c>
      <c r="D21" s="11">
        <v>0</v>
      </c>
      <c r="E21" s="11">
        <v>0</v>
      </c>
      <c r="F21" s="11" t="s">
        <v>22</v>
      </c>
    </row>
    <row r="22" spans="1:6" x14ac:dyDescent="0.25">
      <c r="B22" s="11" t="s">
        <v>23</v>
      </c>
      <c r="C22" s="11" t="s">
        <v>24</v>
      </c>
      <c r="D22" s="11">
        <v>0</v>
      </c>
      <c r="E22" s="11">
        <v>0</v>
      </c>
      <c r="F22" s="11" t="s">
        <v>22</v>
      </c>
    </row>
    <row r="23" spans="1:6" x14ac:dyDescent="0.25">
      <c r="B23" s="11" t="s">
        <v>25</v>
      </c>
      <c r="C23" s="11" t="s">
        <v>26</v>
      </c>
      <c r="D23" s="11">
        <v>0</v>
      </c>
      <c r="E23" s="11">
        <v>0</v>
      </c>
      <c r="F23" s="11" t="s">
        <v>22</v>
      </c>
    </row>
    <row r="24" spans="1:6" x14ac:dyDescent="0.25">
      <c r="B24" s="11" t="s">
        <v>27</v>
      </c>
      <c r="C24" s="11" t="s">
        <v>28</v>
      </c>
      <c r="D24" s="11">
        <v>0</v>
      </c>
      <c r="E24" s="11">
        <v>1</v>
      </c>
      <c r="F24" s="11" t="s">
        <v>22</v>
      </c>
    </row>
    <row r="25" spans="1:6" x14ac:dyDescent="0.25">
      <c r="B25" s="11" t="s">
        <v>29</v>
      </c>
      <c r="C25" s="11" t="s">
        <v>30</v>
      </c>
      <c r="D25" s="11">
        <v>0</v>
      </c>
      <c r="E25" s="11">
        <v>1</v>
      </c>
      <c r="F25" s="11" t="s">
        <v>22</v>
      </c>
    </row>
    <row r="26" spans="1:6" x14ac:dyDescent="0.25">
      <c r="B26" s="11" t="s">
        <v>31</v>
      </c>
      <c r="C26" s="11" t="s">
        <v>32</v>
      </c>
      <c r="D26" s="11">
        <v>0</v>
      </c>
      <c r="E26" s="11">
        <v>1</v>
      </c>
      <c r="F26" s="11" t="s">
        <v>22</v>
      </c>
    </row>
    <row r="27" spans="1:6" x14ac:dyDescent="0.25">
      <c r="B27" s="11" t="s">
        <v>33</v>
      </c>
      <c r="C27" s="11" t="s">
        <v>34</v>
      </c>
      <c r="D27" s="11">
        <v>0</v>
      </c>
      <c r="E27" s="11">
        <v>1</v>
      </c>
      <c r="F27" s="11" t="s">
        <v>22</v>
      </c>
    </row>
    <row r="28" spans="1:6" x14ac:dyDescent="0.25">
      <c r="B28" s="11" t="s">
        <v>35</v>
      </c>
      <c r="C28" s="11" t="s">
        <v>36</v>
      </c>
      <c r="D28" s="11">
        <v>0</v>
      </c>
      <c r="E28" s="11">
        <v>0</v>
      </c>
      <c r="F28" s="11" t="s">
        <v>22</v>
      </c>
    </row>
    <row r="29" spans="1:6" x14ac:dyDescent="0.25">
      <c r="B29" s="11" t="s">
        <v>37</v>
      </c>
      <c r="C29" s="11" t="s">
        <v>38</v>
      </c>
      <c r="D29" s="11">
        <v>0</v>
      </c>
      <c r="E29" s="11">
        <v>0</v>
      </c>
      <c r="F29" s="11" t="s">
        <v>22</v>
      </c>
    </row>
    <row r="30" spans="1:6" x14ac:dyDescent="0.25">
      <c r="B30" s="11" t="s">
        <v>39</v>
      </c>
      <c r="C30" s="11" t="s">
        <v>40</v>
      </c>
      <c r="D30" s="11">
        <v>0</v>
      </c>
      <c r="E30" s="11">
        <v>0</v>
      </c>
      <c r="F30" s="11" t="s">
        <v>22</v>
      </c>
    </row>
    <row r="31" spans="1:6" x14ac:dyDescent="0.25">
      <c r="B31" s="11" t="s">
        <v>41</v>
      </c>
      <c r="C31" s="11" t="s">
        <v>42</v>
      </c>
      <c r="D31" s="11">
        <v>0</v>
      </c>
      <c r="E31" s="11">
        <v>0</v>
      </c>
      <c r="F31" s="11" t="s">
        <v>19</v>
      </c>
    </row>
    <row r="32" spans="1:6" x14ac:dyDescent="0.25">
      <c r="B32" s="11" t="s">
        <v>43</v>
      </c>
      <c r="C32" s="11" t="s">
        <v>44</v>
      </c>
      <c r="D32" s="11">
        <v>0</v>
      </c>
      <c r="E32" s="11">
        <v>0</v>
      </c>
      <c r="F32" s="11" t="s">
        <v>19</v>
      </c>
    </row>
    <row r="33" spans="1:7" x14ac:dyDescent="0.25">
      <c r="B33" s="11" t="s">
        <v>45</v>
      </c>
      <c r="C33" s="11" t="s">
        <v>46</v>
      </c>
      <c r="D33" s="11">
        <v>0</v>
      </c>
      <c r="E33" s="11">
        <v>0</v>
      </c>
      <c r="F33" s="11" t="s">
        <v>19</v>
      </c>
    </row>
    <row r="34" spans="1:7" x14ac:dyDescent="0.25">
      <c r="B34" s="11" t="s">
        <v>47</v>
      </c>
      <c r="C34" s="11" t="s">
        <v>48</v>
      </c>
      <c r="D34" s="11">
        <v>0</v>
      </c>
      <c r="E34" s="11">
        <v>1</v>
      </c>
      <c r="F34" s="11" t="s">
        <v>19</v>
      </c>
    </row>
    <row r="35" spans="1:7" x14ac:dyDescent="0.25">
      <c r="B35" s="11" t="s">
        <v>49</v>
      </c>
      <c r="C35" s="11" t="s">
        <v>50</v>
      </c>
      <c r="D35" s="11">
        <v>0</v>
      </c>
      <c r="E35" s="11">
        <v>1</v>
      </c>
      <c r="F35" s="11" t="s">
        <v>19</v>
      </c>
    </row>
    <row r="36" spans="1:7" x14ac:dyDescent="0.25">
      <c r="B36" s="11" t="s">
        <v>51</v>
      </c>
      <c r="C36" s="11" t="s">
        <v>52</v>
      </c>
      <c r="D36" s="11">
        <v>0</v>
      </c>
      <c r="E36" s="11">
        <v>1</v>
      </c>
      <c r="F36" s="11" t="s">
        <v>19</v>
      </c>
    </row>
    <row r="37" spans="1:7" x14ac:dyDescent="0.25">
      <c r="B37" s="11" t="s">
        <v>53</v>
      </c>
      <c r="C37" s="11" t="s">
        <v>54</v>
      </c>
      <c r="D37" s="11">
        <v>0</v>
      </c>
      <c r="E37" s="11">
        <v>1</v>
      </c>
      <c r="F37" s="11" t="s">
        <v>19</v>
      </c>
    </row>
    <row r="38" spans="1:7" x14ac:dyDescent="0.25">
      <c r="B38" s="11" t="s">
        <v>55</v>
      </c>
      <c r="C38" s="11" t="s">
        <v>56</v>
      </c>
      <c r="D38" s="11">
        <v>0</v>
      </c>
      <c r="E38" s="11">
        <v>0</v>
      </c>
      <c r="F38" s="11" t="s">
        <v>19</v>
      </c>
    </row>
    <row r="39" spans="1:7" x14ac:dyDescent="0.25">
      <c r="B39" s="11" t="s">
        <v>57</v>
      </c>
      <c r="C39" s="11" t="s">
        <v>58</v>
      </c>
      <c r="D39" s="11">
        <v>0</v>
      </c>
      <c r="E39" s="11">
        <v>0</v>
      </c>
      <c r="F39" s="11" t="s">
        <v>19</v>
      </c>
    </row>
    <row r="40" spans="1:7" ht="15.75" customHeight="1" thickBot="1" x14ac:dyDescent="0.3">
      <c r="B40" s="9" t="s">
        <v>59</v>
      </c>
      <c r="C40" s="9" t="s">
        <v>60</v>
      </c>
      <c r="D40" s="9">
        <v>0</v>
      </c>
      <c r="E40" s="9">
        <v>0</v>
      </c>
      <c r="F40" s="9" t="s">
        <v>19</v>
      </c>
    </row>
    <row r="43" spans="1:7" ht="15.75" customHeight="1" thickBot="1" x14ac:dyDescent="0.3">
      <c r="A43" t="s">
        <v>61</v>
      </c>
    </row>
    <row r="44" spans="1:7" ht="15.75" customHeight="1" thickBot="1" x14ac:dyDescent="0.3">
      <c r="B44" s="10" t="s">
        <v>12</v>
      </c>
      <c r="C44" s="10" t="s">
        <v>13</v>
      </c>
      <c r="D44" s="10" t="s">
        <v>62</v>
      </c>
      <c r="E44" s="10" t="s">
        <v>63</v>
      </c>
      <c r="F44" s="10" t="s">
        <v>64</v>
      </c>
      <c r="G44" s="10" t="s">
        <v>65</v>
      </c>
    </row>
    <row r="45" spans="1:7" x14ac:dyDescent="0.25">
      <c r="B45" s="11" t="s">
        <v>66</v>
      </c>
      <c r="C45" s="11" t="s">
        <v>67</v>
      </c>
      <c r="D45" s="11">
        <v>1</v>
      </c>
      <c r="E45" s="11" t="s">
        <v>68</v>
      </c>
      <c r="F45" s="11" t="s">
        <v>69</v>
      </c>
      <c r="G45" s="11">
        <v>0</v>
      </c>
    </row>
    <row r="46" spans="1:7" x14ac:dyDescent="0.25">
      <c r="B46" s="11" t="s">
        <v>57</v>
      </c>
      <c r="C46" s="11" t="s">
        <v>58</v>
      </c>
      <c r="D46" s="11">
        <v>0</v>
      </c>
      <c r="E46" s="11" t="s">
        <v>70</v>
      </c>
      <c r="F46" s="11" t="s">
        <v>69</v>
      </c>
      <c r="G46" s="11">
        <v>0</v>
      </c>
    </row>
    <row r="47" spans="1:7" x14ac:dyDescent="0.25">
      <c r="B47" s="11" t="s">
        <v>57</v>
      </c>
      <c r="C47" s="11" t="s">
        <v>58</v>
      </c>
      <c r="D47" s="11">
        <v>0</v>
      </c>
      <c r="E47" s="11" t="s">
        <v>71</v>
      </c>
      <c r="F47" s="11" t="s">
        <v>69</v>
      </c>
      <c r="G47" s="11">
        <v>0</v>
      </c>
    </row>
    <row r="48" spans="1:7" x14ac:dyDescent="0.25">
      <c r="B48" s="11" t="s">
        <v>59</v>
      </c>
      <c r="C48" s="11" t="s">
        <v>60</v>
      </c>
      <c r="D48" s="11">
        <v>0</v>
      </c>
      <c r="E48" s="11" t="s">
        <v>72</v>
      </c>
      <c r="F48" s="11" t="s">
        <v>69</v>
      </c>
      <c r="G48" s="11">
        <v>0</v>
      </c>
    </row>
    <row r="49" spans="2:7" x14ac:dyDescent="0.25">
      <c r="B49" s="11" t="s">
        <v>59</v>
      </c>
      <c r="C49" s="11" t="s">
        <v>60</v>
      </c>
      <c r="D49" s="11">
        <v>0</v>
      </c>
      <c r="E49" s="11" t="s">
        <v>73</v>
      </c>
      <c r="F49" s="11" t="s">
        <v>69</v>
      </c>
      <c r="G49" s="11">
        <v>0</v>
      </c>
    </row>
    <row r="50" spans="2:7" x14ac:dyDescent="0.25">
      <c r="B50" s="11" t="s">
        <v>41</v>
      </c>
      <c r="C50" s="11" t="s">
        <v>42</v>
      </c>
      <c r="D50" s="11">
        <v>0</v>
      </c>
      <c r="E50" s="11" t="s">
        <v>74</v>
      </c>
      <c r="F50" s="11" t="s">
        <v>69</v>
      </c>
      <c r="G50" s="11">
        <v>0</v>
      </c>
    </row>
    <row r="51" spans="2:7" x14ac:dyDescent="0.25">
      <c r="B51" s="11" t="s">
        <v>41</v>
      </c>
      <c r="C51" s="11" t="s">
        <v>42</v>
      </c>
      <c r="D51" s="11">
        <v>0</v>
      </c>
      <c r="E51" s="11" t="s">
        <v>75</v>
      </c>
      <c r="F51" s="11" t="s">
        <v>69</v>
      </c>
      <c r="G51" s="11">
        <v>0</v>
      </c>
    </row>
    <row r="52" spans="2:7" x14ac:dyDescent="0.25">
      <c r="B52" s="11" t="s">
        <v>43</v>
      </c>
      <c r="C52" s="11" t="s">
        <v>44</v>
      </c>
      <c r="D52" s="11">
        <v>0</v>
      </c>
      <c r="E52" s="11" t="s">
        <v>76</v>
      </c>
      <c r="F52" s="11" t="s">
        <v>69</v>
      </c>
      <c r="G52" s="11">
        <v>0</v>
      </c>
    </row>
    <row r="53" spans="2:7" x14ac:dyDescent="0.25">
      <c r="B53" s="11" t="s">
        <v>43</v>
      </c>
      <c r="C53" s="11" t="s">
        <v>44</v>
      </c>
      <c r="D53" s="11">
        <v>0</v>
      </c>
      <c r="E53" s="11" t="s">
        <v>77</v>
      </c>
      <c r="F53" s="11" t="s">
        <v>69</v>
      </c>
      <c r="G53" s="11">
        <v>0</v>
      </c>
    </row>
    <row r="54" spans="2:7" x14ac:dyDescent="0.25">
      <c r="B54" s="11" t="s">
        <v>45</v>
      </c>
      <c r="C54" s="11" t="s">
        <v>46</v>
      </c>
      <c r="D54" s="11">
        <v>0</v>
      </c>
      <c r="E54" s="11" t="s">
        <v>78</v>
      </c>
      <c r="F54" s="11" t="s">
        <v>69</v>
      </c>
      <c r="G54" s="11">
        <v>0</v>
      </c>
    </row>
    <row r="55" spans="2:7" x14ac:dyDescent="0.25">
      <c r="B55" s="11" t="s">
        <v>45</v>
      </c>
      <c r="C55" s="11" t="s">
        <v>46</v>
      </c>
      <c r="D55" s="11">
        <v>0</v>
      </c>
      <c r="E55" s="11" t="s">
        <v>79</v>
      </c>
      <c r="F55" s="11" t="s">
        <v>69</v>
      </c>
      <c r="G55" s="11">
        <v>0</v>
      </c>
    </row>
    <row r="56" spans="2:7" x14ac:dyDescent="0.25">
      <c r="B56" s="11" t="s">
        <v>47</v>
      </c>
      <c r="C56" s="11" t="s">
        <v>48</v>
      </c>
      <c r="D56" s="11">
        <v>1</v>
      </c>
      <c r="E56" s="11" t="s">
        <v>80</v>
      </c>
      <c r="F56" s="11" t="s">
        <v>81</v>
      </c>
      <c r="G56" s="11">
        <v>9</v>
      </c>
    </row>
    <row r="57" spans="2:7" x14ac:dyDescent="0.25">
      <c r="B57" s="11" t="s">
        <v>47</v>
      </c>
      <c r="C57" s="11" t="s">
        <v>48</v>
      </c>
      <c r="D57" s="11">
        <v>1</v>
      </c>
      <c r="E57" s="11" t="s">
        <v>82</v>
      </c>
      <c r="F57" s="11" t="s">
        <v>69</v>
      </c>
      <c r="G57" s="11">
        <v>0</v>
      </c>
    </row>
    <row r="58" spans="2:7" x14ac:dyDescent="0.25">
      <c r="B58" s="11" t="s">
        <v>49</v>
      </c>
      <c r="C58" s="11" t="s">
        <v>50</v>
      </c>
      <c r="D58" s="11">
        <v>1</v>
      </c>
      <c r="E58" s="11" t="s">
        <v>83</v>
      </c>
      <c r="F58" s="11" t="s">
        <v>81</v>
      </c>
      <c r="G58" s="11">
        <v>9</v>
      </c>
    </row>
    <row r="59" spans="2:7" x14ac:dyDescent="0.25">
      <c r="B59" s="11" t="s">
        <v>49</v>
      </c>
      <c r="C59" s="11" t="s">
        <v>50</v>
      </c>
      <c r="D59" s="11">
        <v>1</v>
      </c>
      <c r="E59" s="11" t="s">
        <v>84</v>
      </c>
      <c r="F59" s="11" t="s">
        <v>69</v>
      </c>
      <c r="G59" s="11">
        <v>0</v>
      </c>
    </row>
    <row r="60" spans="2:7" x14ac:dyDescent="0.25">
      <c r="B60" s="11" t="s">
        <v>51</v>
      </c>
      <c r="C60" s="11" t="s">
        <v>52</v>
      </c>
      <c r="D60" s="11">
        <v>1</v>
      </c>
      <c r="E60" s="11" t="s">
        <v>85</v>
      </c>
      <c r="F60" s="11" t="s">
        <v>81</v>
      </c>
      <c r="G60" s="11">
        <v>9</v>
      </c>
    </row>
    <row r="61" spans="2:7" x14ac:dyDescent="0.25">
      <c r="B61" s="11" t="s">
        <v>51</v>
      </c>
      <c r="C61" s="11" t="s">
        <v>52</v>
      </c>
      <c r="D61" s="11">
        <v>1</v>
      </c>
      <c r="E61" s="11" t="s">
        <v>86</v>
      </c>
      <c r="F61" s="11" t="s">
        <v>69</v>
      </c>
      <c r="G61" s="11">
        <v>0</v>
      </c>
    </row>
    <row r="62" spans="2:7" x14ac:dyDescent="0.25">
      <c r="B62" s="11" t="s">
        <v>53</v>
      </c>
      <c r="C62" s="11" t="s">
        <v>54</v>
      </c>
      <c r="D62" s="11">
        <v>1</v>
      </c>
      <c r="E62" s="11" t="s">
        <v>87</v>
      </c>
      <c r="F62" s="11" t="s">
        <v>81</v>
      </c>
      <c r="G62" s="11">
        <v>9</v>
      </c>
    </row>
    <row r="63" spans="2:7" x14ac:dyDescent="0.25">
      <c r="B63" s="11" t="s">
        <v>53</v>
      </c>
      <c r="C63" s="11" t="s">
        <v>54</v>
      </c>
      <c r="D63" s="11">
        <v>1</v>
      </c>
      <c r="E63" s="11" t="s">
        <v>88</v>
      </c>
      <c r="F63" s="11" t="s">
        <v>69</v>
      </c>
      <c r="G63" s="11">
        <v>0</v>
      </c>
    </row>
    <row r="64" spans="2:7" x14ac:dyDescent="0.25">
      <c r="B64" s="11" t="s">
        <v>55</v>
      </c>
      <c r="C64" s="11" t="s">
        <v>56</v>
      </c>
      <c r="D64" s="11">
        <v>0</v>
      </c>
      <c r="E64" s="11" t="s">
        <v>89</v>
      </c>
      <c r="F64" s="11" t="s">
        <v>69</v>
      </c>
      <c r="G64" s="11">
        <v>0</v>
      </c>
    </row>
    <row r="65" spans="2:7" x14ac:dyDescent="0.25">
      <c r="B65" s="11" t="s">
        <v>55</v>
      </c>
      <c r="C65" s="11" t="s">
        <v>56</v>
      </c>
      <c r="D65" s="11">
        <v>0</v>
      </c>
      <c r="E65" s="11" t="s">
        <v>90</v>
      </c>
      <c r="F65" s="11" t="s">
        <v>69</v>
      </c>
      <c r="G65" s="11">
        <v>0</v>
      </c>
    </row>
    <row r="66" spans="2:7" x14ac:dyDescent="0.25">
      <c r="B66" s="11" t="s">
        <v>91</v>
      </c>
      <c r="C66" s="11" t="s">
        <v>92</v>
      </c>
      <c r="D66" s="11">
        <v>4</v>
      </c>
      <c r="E66" s="11" t="s">
        <v>93</v>
      </c>
      <c r="F66" s="11" t="s">
        <v>81</v>
      </c>
      <c r="G66" s="11">
        <v>3</v>
      </c>
    </row>
    <row r="67" spans="2:7" x14ac:dyDescent="0.25">
      <c r="B67" s="11" t="s">
        <v>94</v>
      </c>
      <c r="C67" s="11" t="s">
        <v>95</v>
      </c>
      <c r="D67" s="11">
        <v>1</v>
      </c>
      <c r="E67" s="11" t="s">
        <v>96</v>
      </c>
      <c r="F67" s="11" t="s">
        <v>69</v>
      </c>
      <c r="G67" s="11">
        <v>0</v>
      </c>
    </row>
    <row r="68" spans="2:7" x14ac:dyDescent="0.25">
      <c r="B68" s="11" t="s">
        <v>97</v>
      </c>
      <c r="C68" s="11" t="s">
        <v>98</v>
      </c>
      <c r="D68" s="11">
        <v>1</v>
      </c>
      <c r="E68" s="11" t="s">
        <v>99</v>
      </c>
      <c r="F68" s="11" t="s">
        <v>69</v>
      </c>
      <c r="G68" s="11">
        <v>0</v>
      </c>
    </row>
    <row r="69" spans="2:7" x14ac:dyDescent="0.25">
      <c r="B69" s="11" t="s">
        <v>100</v>
      </c>
      <c r="C69" s="11" t="s">
        <v>101</v>
      </c>
      <c r="D69" s="11">
        <v>1</v>
      </c>
      <c r="E69" s="11" t="s">
        <v>102</v>
      </c>
      <c r="F69" s="11" t="s">
        <v>69</v>
      </c>
      <c r="G69" s="11">
        <v>0</v>
      </c>
    </row>
    <row r="70" spans="2:7" x14ac:dyDescent="0.25">
      <c r="B70" s="11" t="s">
        <v>103</v>
      </c>
      <c r="C70" s="11" t="s">
        <v>104</v>
      </c>
      <c r="D70" s="11">
        <v>4</v>
      </c>
      <c r="E70" s="11" t="s">
        <v>105</v>
      </c>
      <c r="F70" s="11" t="s">
        <v>81</v>
      </c>
      <c r="G70" s="11">
        <v>3</v>
      </c>
    </row>
    <row r="71" spans="2:7" x14ac:dyDescent="0.25">
      <c r="B71" s="11" t="s">
        <v>106</v>
      </c>
      <c r="C71" s="11" t="s">
        <v>107</v>
      </c>
      <c r="D71" s="11">
        <v>3</v>
      </c>
      <c r="E71" s="11" t="s">
        <v>108</v>
      </c>
      <c r="F71" s="11" t="s">
        <v>81</v>
      </c>
      <c r="G71" s="11">
        <v>2</v>
      </c>
    </row>
    <row r="72" spans="2:7" x14ac:dyDescent="0.25">
      <c r="B72" s="11" t="s">
        <v>109</v>
      </c>
      <c r="C72" s="11" t="s">
        <v>110</v>
      </c>
      <c r="D72" s="11">
        <v>1</v>
      </c>
      <c r="E72" s="11" t="s">
        <v>111</v>
      </c>
      <c r="F72" s="11" t="s">
        <v>69</v>
      </c>
      <c r="G72" s="11">
        <v>0</v>
      </c>
    </row>
    <row r="73" spans="2:7" x14ac:dyDescent="0.25">
      <c r="B73" s="11" t="s">
        <v>112</v>
      </c>
      <c r="C73" s="11" t="s">
        <v>113</v>
      </c>
      <c r="D73" s="11">
        <v>1</v>
      </c>
      <c r="E73" s="11" t="s">
        <v>114</v>
      </c>
      <c r="F73" s="11" t="s">
        <v>69</v>
      </c>
      <c r="G73" s="11">
        <v>0</v>
      </c>
    </row>
    <row r="74" spans="2:7" x14ac:dyDescent="0.25">
      <c r="B74" s="11" t="s">
        <v>115</v>
      </c>
      <c r="C74" s="11" t="s">
        <v>116</v>
      </c>
      <c r="D74" s="11">
        <v>1</v>
      </c>
      <c r="E74" s="11" t="s">
        <v>117</v>
      </c>
      <c r="F74" s="11" t="s">
        <v>69</v>
      </c>
      <c r="G74" s="11">
        <v>0</v>
      </c>
    </row>
    <row r="75" spans="2:7" x14ac:dyDescent="0.25">
      <c r="B75" s="11" t="s">
        <v>118</v>
      </c>
      <c r="C75" s="11" t="s">
        <v>119</v>
      </c>
      <c r="D75" s="11">
        <v>2</v>
      </c>
      <c r="E75" s="11" t="s">
        <v>120</v>
      </c>
      <c r="F75" s="11" t="s">
        <v>81</v>
      </c>
      <c r="G75" s="11">
        <v>1</v>
      </c>
    </row>
    <row r="76" spans="2:7" x14ac:dyDescent="0.25">
      <c r="B76" s="11" t="s">
        <v>121</v>
      </c>
      <c r="C76" s="11" t="s">
        <v>122</v>
      </c>
      <c r="D76" s="11">
        <v>2</v>
      </c>
      <c r="E76" s="11" t="s">
        <v>123</v>
      </c>
      <c r="F76" s="11" t="s">
        <v>81</v>
      </c>
      <c r="G76" s="11">
        <v>1</v>
      </c>
    </row>
    <row r="77" spans="2:7" x14ac:dyDescent="0.25">
      <c r="B77" s="11" t="s">
        <v>124</v>
      </c>
      <c r="C77" s="11" t="s">
        <v>125</v>
      </c>
      <c r="D77" s="11">
        <v>2</v>
      </c>
      <c r="E77" s="11" t="s">
        <v>126</v>
      </c>
      <c r="F77" s="11" t="s">
        <v>81</v>
      </c>
      <c r="G77" s="11">
        <v>1</v>
      </c>
    </row>
    <row r="78" spans="2:7" x14ac:dyDescent="0.25">
      <c r="B78" s="11" t="s">
        <v>127</v>
      </c>
      <c r="C78" s="11" t="s">
        <v>128</v>
      </c>
      <c r="D78" s="11">
        <v>1</v>
      </c>
      <c r="E78" s="11" t="s">
        <v>129</v>
      </c>
      <c r="F78" s="11" t="s">
        <v>69</v>
      </c>
      <c r="G78" s="11">
        <v>0</v>
      </c>
    </row>
    <row r="79" spans="2:7" x14ac:dyDescent="0.25">
      <c r="B79" s="11" t="s">
        <v>130</v>
      </c>
      <c r="C79" s="11" t="s">
        <v>131</v>
      </c>
      <c r="D79" s="11">
        <v>1</v>
      </c>
      <c r="E79" s="11" t="s">
        <v>132</v>
      </c>
      <c r="F79" s="11" t="s">
        <v>69</v>
      </c>
      <c r="G79" s="11">
        <v>0</v>
      </c>
    </row>
    <row r="80" spans="2:7" x14ac:dyDescent="0.25">
      <c r="B80" s="11" t="s">
        <v>133</v>
      </c>
      <c r="C80" s="11" t="s">
        <v>134</v>
      </c>
      <c r="D80" s="11">
        <v>1</v>
      </c>
      <c r="E80" s="11" t="s">
        <v>135</v>
      </c>
      <c r="F80" s="11" t="s">
        <v>69</v>
      </c>
      <c r="G80" s="11">
        <v>0</v>
      </c>
    </row>
    <row r="81" spans="2:7" x14ac:dyDescent="0.25">
      <c r="B81" s="11" t="s">
        <v>136</v>
      </c>
      <c r="C81" s="11" t="s">
        <v>137</v>
      </c>
      <c r="D81" s="11">
        <v>1</v>
      </c>
      <c r="E81" s="11" t="s">
        <v>138</v>
      </c>
      <c r="F81" s="11" t="s">
        <v>69</v>
      </c>
      <c r="G81" s="11">
        <v>0</v>
      </c>
    </row>
    <row r="82" spans="2:7" x14ac:dyDescent="0.25">
      <c r="B82" s="11" t="s">
        <v>139</v>
      </c>
      <c r="C82" s="11" t="s">
        <v>140</v>
      </c>
      <c r="D82" s="11">
        <v>1</v>
      </c>
      <c r="E82" s="11" t="s">
        <v>141</v>
      </c>
      <c r="F82" s="11" t="s">
        <v>69</v>
      </c>
      <c r="G82" s="11">
        <v>0</v>
      </c>
    </row>
    <row r="83" spans="2:7" x14ac:dyDescent="0.25">
      <c r="B83" s="11" t="s">
        <v>142</v>
      </c>
      <c r="C83" s="11" t="s">
        <v>143</v>
      </c>
      <c r="D83" s="11">
        <v>1</v>
      </c>
      <c r="E83" s="11" t="s">
        <v>144</v>
      </c>
      <c r="F83" s="11" t="s">
        <v>69</v>
      </c>
      <c r="G83" s="11">
        <v>0</v>
      </c>
    </row>
    <row r="84" spans="2:7" x14ac:dyDescent="0.25">
      <c r="B84" s="11" t="s">
        <v>145</v>
      </c>
      <c r="C84" s="11"/>
      <c r="D84" s="11"/>
      <c r="E84" s="11"/>
      <c r="F84" s="11"/>
      <c r="G84" s="11"/>
    </row>
    <row r="85" spans="2:7" ht="15.75" customHeight="1" thickBot="1" x14ac:dyDescent="0.3">
      <c r="B85" s="9" t="s">
        <v>146</v>
      </c>
      <c r="C85" s="9"/>
      <c r="D85" s="9"/>
      <c r="E85" s="9"/>
      <c r="F85" s="9"/>
      <c r="G85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7"/>
  <sheetViews>
    <sheetView view="pageBreakPreview" zoomScaleNormal="100" zoomScaleSheetLayoutView="100" workbookViewId="0">
      <selection activeCell="F23" sqref="F23"/>
    </sheetView>
  </sheetViews>
  <sheetFormatPr defaultRowHeight="15" x14ac:dyDescent="0.25"/>
  <cols>
    <col min="1" max="1" width="12" customWidth="1"/>
    <col min="2" max="2" width="23" customWidth="1"/>
    <col min="3" max="3" width="21.5703125" customWidth="1"/>
    <col min="4" max="4" width="25.7109375" customWidth="1"/>
    <col min="5" max="5" width="25.28515625" customWidth="1"/>
    <col min="6" max="6" width="34.5703125" customWidth="1"/>
    <col min="7" max="7" width="26.42578125" customWidth="1"/>
    <col min="8" max="8" width="29.140625" customWidth="1"/>
    <col min="9" max="27" width="15" customWidth="1"/>
  </cols>
  <sheetData>
    <row r="1" spans="1:27" ht="18" thickBot="1" x14ac:dyDescent="0.35">
      <c r="A1" s="13" t="s">
        <v>147</v>
      </c>
      <c r="B1" s="13" t="s">
        <v>148</v>
      </c>
      <c r="C1" s="13" t="s">
        <v>149</v>
      </c>
      <c r="D1" s="13" t="s">
        <v>150</v>
      </c>
      <c r="E1" s="13" t="s">
        <v>151</v>
      </c>
      <c r="F1" s="13" t="s">
        <v>152</v>
      </c>
      <c r="G1" s="13" t="s">
        <v>153</v>
      </c>
      <c r="H1" s="13" t="s">
        <v>154</v>
      </c>
      <c r="I1" s="14" t="s">
        <v>92</v>
      </c>
      <c r="J1" s="14" t="s">
        <v>95</v>
      </c>
      <c r="K1" s="14" t="s">
        <v>98</v>
      </c>
      <c r="L1" s="14" t="s">
        <v>101</v>
      </c>
      <c r="M1" s="14" t="s">
        <v>104</v>
      </c>
      <c r="N1" s="14" t="s">
        <v>107</v>
      </c>
      <c r="O1" s="14" t="s">
        <v>110</v>
      </c>
      <c r="P1" s="14" t="s">
        <v>113</v>
      </c>
      <c r="Q1" s="14" t="s">
        <v>116</v>
      </c>
      <c r="R1" s="14" t="s">
        <v>119</v>
      </c>
      <c r="S1" s="14" t="s">
        <v>122</v>
      </c>
      <c r="T1" s="14" t="s">
        <v>125</v>
      </c>
      <c r="U1" s="14" t="s">
        <v>128</v>
      </c>
      <c r="V1" s="14" t="s">
        <v>131</v>
      </c>
      <c r="W1" s="14" t="s">
        <v>134</v>
      </c>
      <c r="X1" s="14" t="s">
        <v>137</v>
      </c>
      <c r="Y1" s="14" t="s">
        <v>140</v>
      </c>
      <c r="Z1" s="14" t="s">
        <v>143</v>
      </c>
      <c r="AA1" s="14" t="s">
        <v>67</v>
      </c>
    </row>
    <row r="2" spans="1:27" ht="15.75" thickTop="1" x14ac:dyDescent="0.25">
      <c r="A2" t="s">
        <v>155</v>
      </c>
      <c r="B2" s="3">
        <v>150</v>
      </c>
      <c r="C2" s="3">
        <v>0.5</v>
      </c>
      <c r="D2" s="4">
        <v>0</v>
      </c>
      <c r="E2" s="4">
        <v>0</v>
      </c>
      <c r="F2" s="5">
        <f t="shared" ref="F2:F11" si="0">B2*C2*D2</f>
        <v>0</v>
      </c>
      <c r="G2" s="5">
        <f t="shared" ref="G2:G11" si="1">500*E2</f>
        <v>0</v>
      </c>
      <c r="H2" s="5">
        <f t="shared" ref="H2:H11" si="2">F2+G2</f>
        <v>0</v>
      </c>
      <c r="I2" s="2">
        <v>1</v>
      </c>
      <c r="J2" s="2">
        <v>1</v>
      </c>
      <c r="K2" s="2">
        <v>0</v>
      </c>
      <c r="L2" s="2">
        <v>0</v>
      </c>
      <c r="M2" s="2">
        <v>1</v>
      </c>
      <c r="N2" s="2">
        <v>1</v>
      </c>
      <c r="O2" s="2">
        <v>1</v>
      </c>
      <c r="P2" s="2">
        <v>1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1</v>
      </c>
      <c r="AA2" s="2">
        <v>1</v>
      </c>
    </row>
    <row r="3" spans="1:27" x14ac:dyDescent="0.25">
      <c r="A3" t="s">
        <v>156</v>
      </c>
      <c r="B3" s="3">
        <v>120</v>
      </c>
      <c r="C3" s="3">
        <v>0.4</v>
      </c>
      <c r="D3" s="4">
        <v>0</v>
      </c>
      <c r="E3" s="4">
        <v>0</v>
      </c>
      <c r="F3" s="5">
        <f t="shared" si="0"/>
        <v>0</v>
      </c>
      <c r="G3" s="5">
        <f t="shared" si="1"/>
        <v>0</v>
      </c>
      <c r="H3" s="5">
        <f t="shared" si="2"/>
        <v>0</v>
      </c>
      <c r="I3" s="2">
        <v>0</v>
      </c>
      <c r="J3" s="2">
        <v>1</v>
      </c>
      <c r="K3" s="2">
        <v>1</v>
      </c>
      <c r="L3" s="2">
        <v>0</v>
      </c>
      <c r="M3" s="2">
        <v>0</v>
      </c>
      <c r="N3" s="2">
        <v>0</v>
      </c>
      <c r="O3" s="2">
        <v>1</v>
      </c>
      <c r="P3" s="2">
        <v>1</v>
      </c>
      <c r="Q3" s="2">
        <v>1</v>
      </c>
      <c r="R3" s="2">
        <v>0</v>
      </c>
      <c r="S3" s="2">
        <v>0</v>
      </c>
      <c r="T3" s="2">
        <v>0</v>
      </c>
      <c r="U3" s="2">
        <v>1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</row>
    <row r="4" spans="1:27" x14ac:dyDescent="0.25">
      <c r="A4" t="s">
        <v>157</v>
      </c>
      <c r="B4" s="3">
        <v>80</v>
      </c>
      <c r="C4" s="3">
        <v>0.2</v>
      </c>
      <c r="D4" s="4">
        <v>0</v>
      </c>
      <c r="E4" s="4">
        <v>0</v>
      </c>
      <c r="F4" s="5">
        <f t="shared" si="0"/>
        <v>0</v>
      </c>
      <c r="G4" s="5">
        <f t="shared" si="1"/>
        <v>0</v>
      </c>
      <c r="H4" s="5">
        <f t="shared" si="2"/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1</v>
      </c>
      <c r="P4" s="2">
        <v>1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1</v>
      </c>
      <c r="AA4" s="2">
        <v>0</v>
      </c>
    </row>
    <row r="5" spans="1:27" x14ac:dyDescent="0.25">
      <c r="A5" t="s">
        <v>158</v>
      </c>
      <c r="B5" s="3">
        <v>100</v>
      </c>
      <c r="C5" s="3">
        <v>0.6</v>
      </c>
      <c r="D5" s="4">
        <v>1</v>
      </c>
      <c r="E5" s="4">
        <v>1</v>
      </c>
      <c r="F5" s="5">
        <f t="shared" si="0"/>
        <v>60</v>
      </c>
      <c r="G5" s="5">
        <f t="shared" si="1"/>
        <v>500</v>
      </c>
      <c r="H5" s="5">
        <f t="shared" si="2"/>
        <v>560</v>
      </c>
      <c r="I5" s="2">
        <v>1</v>
      </c>
      <c r="J5" s="2">
        <v>0</v>
      </c>
      <c r="K5" s="2">
        <v>0</v>
      </c>
      <c r="L5" s="2">
        <v>0</v>
      </c>
      <c r="M5" s="2">
        <v>1</v>
      </c>
      <c r="N5" s="2">
        <v>1</v>
      </c>
      <c r="O5" s="2">
        <v>0</v>
      </c>
      <c r="P5" s="2">
        <v>0</v>
      </c>
      <c r="Q5" s="2">
        <v>0</v>
      </c>
      <c r="R5" s="2">
        <v>1</v>
      </c>
      <c r="S5" s="2">
        <v>1</v>
      </c>
      <c r="T5" s="2">
        <v>1</v>
      </c>
      <c r="U5" s="2">
        <v>0</v>
      </c>
      <c r="V5" s="2">
        <v>1</v>
      </c>
      <c r="W5" s="2">
        <v>1</v>
      </c>
      <c r="X5" s="2">
        <v>1</v>
      </c>
      <c r="Y5" s="2">
        <v>1</v>
      </c>
      <c r="Z5" s="2">
        <v>0</v>
      </c>
      <c r="AA5" s="2">
        <v>0</v>
      </c>
    </row>
    <row r="6" spans="1:27" x14ac:dyDescent="0.25">
      <c r="A6" t="s">
        <v>159</v>
      </c>
      <c r="B6" s="3">
        <v>60</v>
      </c>
      <c r="C6" s="3">
        <v>0.5</v>
      </c>
      <c r="D6" s="4">
        <v>1</v>
      </c>
      <c r="E6" s="4">
        <v>1</v>
      </c>
      <c r="F6" s="5">
        <f t="shared" si="0"/>
        <v>30</v>
      </c>
      <c r="G6" s="5">
        <f t="shared" si="1"/>
        <v>500</v>
      </c>
      <c r="H6" s="5">
        <f t="shared" si="2"/>
        <v>530</v>
      </c>
      <c r="I6" s="2">
        <v>1</v>
      </c>
      <c r="J6" s="2">
        <v>0</v>
      </c>
      <c r="K6" s="2">
        <v>0</v>
      </c>
      <c r="L6" s="2">
        <v>1</v>
      </c>
      <c r="M6" s="2">
        <v>1</v>
      </c>
      <c r="N6" s="2">
        <v>1</v>
      </c>
      <c r="O6" s="2">
        <v>0</v>
      </c>
      <c r="P6" s="2">
        <v>0</v>
      </c>
      <c r="Q6" s="2">
        <v>0</v>
      </c>
      <c r="R6" s="2">
        <v>1</v>
      </c>
      <c r="S6" s="2">
        <v>1</v>
      </c>
      <c r="T6" s="2">
        <v>1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</row>
    <row r="7" spans="1:27" x14ac:dyDescent="0.25">
      <c r="A7" t="s">
        <v>160</v>
      </c>
      <c r="B7" s="3">
        <v>70</v>
      </c>
      <c r="C7" s="3">
        <v>0.5</v>
      </c>
      <c r="D7" s="4">
        <v>1</v>
      </c>
      <c r="E7" s="4">
        <v>1</v>
      </c>
      <c r="F7" s="5">
        <f t="shared" si="0"/>
        <v>35</v>
      </c>
      <c r="G7" s="5">
        <f t="shared" si="1"/>
        <v>500</v>
      </c>
      <c r="H7" s="5">
        <f t="shared" si="2"/>
        <v>535</v>
      </c>
      <c r="I7" s="2">
        <v>1</v>
      </c>
      <c r="J7" s="2">
        <v>1</v>
      </c>
      <c r="K7" s="2">
        <v>0</v>
      </c>
      <c r="L7" s="2">
        <v>0</v>
      </c>
      <c r="M7" s="2">
        <v>1</v>
      </c>
      <c r="N7" s="2">
        <v>0</v>
      </c>
      <c r="O7" s="2">
        <v>1</v>
      </c>
      <c r="P7" s="2">
        <v>1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1</v>
      </c>
      <c r="AA7" s="2">
        <v>1</v>
      </c>
    </row>
    <row r="8" spans="1:27" x14ac:dyDescent="0.25">
      <c r="A8" t="s">
        <v>161</v>
      </c>
      <c r="B8" s="3">
        <v>90</v>
      </c>
      <c r="C8" s="3">
        <v>0.5</v>
      </c>
      <c r="D8" s="4">
        <v>1</v>
      </c>
      <c r="E8" s="4">
        <v>1</v>
      </c>
      <c r="F8" s="5">
        <f t="shared" si="0"/>
        <v>45</v>
      </c>
      <c r="G8" s="5">
        <f t="shared" si="1"/>
        <v>500</v>
      </c>
      <c r="H8" s="5">
        <f t="shared" si="2"/>
        <v>545</v>
      </c>
      <c r="I8" s="2">
        <v>1</v>
      </c>
      <c r="J8" s="2">
        <v>0</v>
      </c>
      <c r="K8" s="2">
        <v>1</v>
      </c>
      <c r="L8" s="2">
        <v>0</v>
      </c>
      <c r="M8" s="2">
        <v>1</v>
      </c>
      <c r="N8" s="2">
        <v>1</v>
      </c>
      <c r="O8" s="2">
        <v>0</v>
      </c>
      <c r="P8" s="2">
        <v>0</v>
      </c>
      <c r="Q8" s="2">
        <v>1</v>
      </c>
      <c r="R8" s="2">
        <v>0</v>
      </c>
      <c r="S8" s="2">
        <v>0</v>
      </c>
      <c r="T8" s="2">
        <v>0</v>
      </c>
      <c r="U8" s="2">
        <v>1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</row>
    <row r="9" spans="1:27" x14ac:dyDescent="0.25">
      <c r="A9" t="s">
        <v>162</v>
      </c>
      <c r="B9" s="3">
        <v>50</v>
      </c>
      <c r="C9" s="3">
        <v>0.3</v>
      </c>
      <c r="D9" s="4">
        <v>0</v>
      </c>
      <c r="E9" s="4">
        <v>0</v>
      </c>
      <c r="F9" s="5">
        <f t="shared" si="0"/>
        <v>0</v>
      </c>
      <c r="G9" s="5">
        <f t="shared" si="1"/>
        <v>0</v>
      </c>
      <c r="H9" s="5">
        <f t="shared" si="2"/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1</v>
      </c>
      <c r="P9" s="2">
        <v>1</v>
      </c>
      <c r="Q9" s="2">
        <v>0</v>
      </c>
      <c r="R9" s="2">
        <v>1</v>
      </c>
      <c r="S9" s="2">
        <v>1</v>
      </c>
      <c r="T9" s="2">
        <v>1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</row>
    <row r="10" spans="1:27" x14ac:dyDescent="0.25">
      <c r="A10" t="s">
        <v>163</v>
      </c>
      <c r="B10" s="3">
        <v>50</v>
      </c>
      <c r="C10" s="3">
        <v>0.4</v>
      </c>
      <c r="D10" s="4">
        <v>0</v>
      </c>
      <c r="E10" s="4">
        <v>0</v>
      </c>
      <c r="F10" s="5">
        <f t="shared" si="0"/>
        <v>0</v>
      </c>
      <c r="G10" s="5">
        <f t="shared" si="1"/>
        <v>0</v>
      </c>
      <c r="H10" s="5">
        <f t="shared" si="2"/>
        <v>0</v>
      </c>
      <c r="I10" s="2">
        <v>0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1</v>
      </c>
      <c r="S10" s="2">
        <v>1</v>
      </c>
      <c r="T10" s="2">
        <v>1</v>
      </c>
      <c r="U10" s="2">
        <v>1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</row>
    <row r="11" spans="1:27" x14ac:dyDescent="0.25">
      <c r="A11" t="s">
        <v>164</v>
      </c>
      <c r="B11" s="3">
        <v>60</v>
      </c>
      <c r="C11" s="3">
        <v>0.3</v>
      </c>
      <c r="D11" s="4">
        <v>0</v>
      </c>
      <c r="E11" s="4">
        <v>0</v>
      </c>
      <c r="F11" s="5">
        <f t="shared" si="0"/>
        <v>0</v>
      </c>
      <c r="G11" s="5">
        <f t="shared" si="1"/>
        <v>0</v>
      </c>
      <c r="H11" s="5">
        <f t="shared" si="2"/>
        <v>0</v>
      </c>
      <c r="I11" s="2">
        <v>0</v>
      </c>
      <c r="J11" s="2">
        <v>1</v>
      </c>
      <c r="K11" s="2">
        <v>1</v>
      </c>
      <c r="L11" s="2">
        <v>0</v>
      </c>
      <c r="M11" s="2">
        <v>0</v>
      </c>
      <c r="N11" s="2">
        <v>0</v>
      </c>
      <c r="O11" s="2">
        <v>1</v>
      </c>
      <c r="P11" s="2">
        <v>1</v>
      </c>
      <c r="Q11" s="2">
        <v>1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1</v>
      </c>
      <c r="AA11" s="2">
        <v>0</v>
      </c>
    </row>
    <row r="15" spans="1:27" x14ac:dyDescent="0.25">
      <c r="F15" s="6">
        <f>SUM(F2:F11)</f>
        <v>170</v>
      </c>
      <c r="G15" s="7">
        <f>SUM(G2:G11)</f>
        <v>2000</v>
      </c>
      <c r="H15" s="1">
        <f>F15+G15</f>
        <v>2170</v>
      </c>
    </row>
    <row r="16" spans="1:27" x14ac:dyDescent="0.25">
      <c r="F16" s="12" t="s">
        <v>165</v>
      </c>
      <c r="G16" s="12" t="s">
        <v>166</v>
      </c>
      <c r="H16" s="12" t="s">
        <v>167</v>
      </c>
    </row>
    <row r="17" spans="9:27" x14ac:dyDescent="0.25">
      <c r="I17">
        <f>I2*D2+I3*D3+I4*D4+I5*D5+I6*D6+I7*D7+I8*D8+I9*D9+I10*D10+I11*D11</f>
        <v>4</v>
      </c>
      <c r="J17">
        <f>J2*D2+J3*D3+J4*D4+J5*D5+J6*D6+J7*D7+J8*D8+J9*D9+J10*D10+J11*D11</f>
        <v>1</v>
      </c>
      <c r="K17">
        <f>K2*D2+K3*D3+K4*D4+K5*D5+K6*D6+K7*D7+K8*D8+K9*D9+K10*D10+K11*D11</f>
        <v>1</v>
      </c>
      <c r="L17">
        <f>L2*D2+L3*D3+L4*D4+L5*D5+L6*D6+L7*D7+L8*D8+L9*D9+L10*D10+L11*D11</f>
        <v>1</v>
      </c>
      <c r="M17">
        <f>M2*D2+M3*D3+M4*D4+M5*D5+M6*D6+M7*D7+M8*D8+M9*D9+M10*D10+M11*D11</f>
        <v>4</v>
      </c>
      <c r="N17">
        <f>N2*D2+N3*D3+N4*D4+N5*D5+N6*D6+N7*D7+N8*D8+N9*D9+N10*D10+N11*D11</f>
        <v>3</v>
      </c>
      <c r="O17">
        <f>O2*D2+O3*D3+O4*D4+O5*D5+O6*D6+O7*D7+O8*D8+O9*D9+O10*D10+O11*D11</f>
        <v>1</v>
      </c>
      <c r="P17">
        <f>P2*D2+P3*D3+P4*D4+P5*D5+P6*D6+P7*D7+P8*D8+P9*D9+P10*D10+P11*D11</f>
        <v>1</v>
      </c>
      <c r="Q17">
        <f>Q2*D2+Q3*D3+Q4*D4+Q5*D5+Q6*D6+Q7*D7+Q8*D8+Q9*D9+Q10*D10+Q11*D11</f>
        <v>1</v>
      </c>
      <c r="R17">
        <f>R2*D2+R3*D3+R4*D4+R5*D5+R6*D6+R7*D7+R8*D8+R9*D9+R10*D10+R11*D11</f>
        <v>2</v>
      </c>
      <c r="S17">
        <f>S2*D2+S3*D3+S4*D4+S5*D5+S6*D6+S7*D7+S8*D8+S9*D9+S10*D10+S11*D11</f>
        <v>2</v>
      </c>
      <c r="T17">
        <f>T2*D2+T3*D3+T4*D4+T5*D5+T6*D6+T7*D7+T8*D8+T9*D9+T10*D10+T11*D11</f>
        <v>2</v>
      </c>
      <c r="U17">
        <f>U2*D2+U3*D3+U4*D4+U5*D5+U6*D6+U7*D7+U8*D8+U9*D9+U10*D10+U11*D11</f>
        <v>1</v>
      </c>
      <c r="V17">
        <f>V2*D2+V3*D3+V4*D4+V5*D5+V6*D6+V7*D7+V8*D8+V9*D9+V10*D10+V11*D11</f>
        <v>1</v>
      </c>
      <c r="W17">
        <f>W2*D2+W3*D3+W4*D4+W5*D5+W6*D6+W7*D7+W8*D8+W9*D9+W10*D10+W11*D11</f>
        <v>1</v>
      </c>
      <c r="X17">
        <f>X2*D2+X3*D3+X4*D4+X5*D5+X6*D6+X7*D7+X8*D8+X9*D9+X10*D10+X11*D11</f>
        <v>1</v>
      </c>
      <c r="Y17">
        <f>Y2*D2+Y3*D3+Y4*D4+Y5*D5+Y6*D6+Y7*D7+Y8*D8+Y9*D9+Y10*D10+Y11*D11</f>
        <v>1</v>
      </c>
      <c r="Z17">
        <f>Z2*D2+Z3*D3+Z4*D4+Z5*D5+Z6*D6+Z7*D7+Z8*D8+Z9*D9+Z10*D10+Z11*D11</f>
        <v>1</v>
      </c>
      <c r="AA17">
        <f>AA2*D2+AA3*D3+AA4*D4+AA5*D5+AA6*D6+AA7*D7+AA8*D8+AA9*D9+AA10*D10+AA11*D11</f>
        <v>1</v>
      </c>
    </row>
  </sheetData>
  <pageMargins left="0.75" right="0.75" top="1" bottom="1" header="0.5" footer="0.5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67378-D150-4F7A-964D-3321700F0BF2}">
  <dimension ref="A1:G36"/>
  <sheetViews>
    <sheetView showGridLines="0" topLeftCell="A4" workbookViewId="0"/>
  </sheetViews>
  <sheetFormatPr defaultRowHeight="15" x14ac:dyDescent="0.25"/>
  <cols>
    <col min="1" max="1" width="2.28515625" customWidth="1"/>
    <col min="2" max="2" width="17.28515625" bestFit="1" customWidth="1"/>
    <col min="3" max="3" width="18.28515625" bestFit="1" customWidth="1"/>
    <col min="4" max="4" width="13.7109375" bestFit="1" customWidth="1"/>
    <col min="5" max="5" width="11.28515625" bestFit="1" customWidth="1"/>
    <col min="6" max="6" width="7.7109375" bestFit="1" customWidth="1"/>
    <col min="7" max="7" width="5.42578125" bestFit="1" customWidth="1"/>
  </cols>
  <sheetData>
    <row r="1" spans="1:5" x14ac:dyDescent="0.25">
      <c r="A1" s="8" t="s">
        <v>0</v>
      </c>
    </row>
    <row r="2" spans="1:5" x14ac:dyDescent="0.25">
      <c r="A2" s="8" t="s">
        <v>171</v>
      </c>
    </row>
    <row r="3" spans="1:5" x14ac:dyDescent="0.25">
      <c r="A3" s="8" t="s">
        <v>172</v>
      </c>
    </row>
    <row r="4" spans="1:5" x14ac:dyDescent="0.25">
      <c r="A4" s="8" t="s">
        <v>3</v>
      </c>
    </row>
    <row r="5" spans="1:5" x14ac:dyDescent="0.25">
      <c r="A5" s="8" t="s">
        <v>4</v>
      </c>
    </row>
    <row r="6" spans="1:5" x14ac:dyDescent="0.25">
      <c r="A6" s="8"/>
      <c r="B6" t="s">
        <v>5</v>
      </c>
    </row>
    <row r="7" spans="1:5" x14ac:dyDescent="0.25">
      <c r="A7" s="8"/>
      <c r="B7" t="s">
        <v>173</v>
      </c>
    </row>
    <row r="8" spans="1:5" x14ac:dyDescent="0.25">
      <c r="A8" s="8"/>
      <c r="B8" t="s">
        <v>174</v>
      </c>
    </row>
    <row r="9" spans="1:5" x14ac:dyDescent="0.25">
      <c r="A9" s="8" t="s">
        <v>8</v>
      </c>
    </row>
    <row r="10" spans="1:5" x14ac:dyDescent="0.25">
      <c r="B10" t="s">
        <v>175</v>
      </c>
    </row>
    <row r="11" spans="1:5" x14ac:dyDescent="0.25">
      <c r="B11" t="s">
        <v>10</v>
      </c>
    </row>
    <row r="14" spans="1:5" ht="15.75" thickBot="1" x14ac:dyDescent="0.3">
      <c r="A14" t="s">
        <v>11</v>
      </c>
    </row>
    <row r="15" spans="1:5" ht="15.75" thickBot="1" x14ac:dyDescent="0.3">
      <c r="B15" s="10" t="s">
        <v>12</v>
      </c>
      <c r="C15" s="10" t="s">
        <v>13</v>
      </c>
      <c r="D15" s="10" t="s">
        <v>14</v>
      </c>
      <c r="E15" s="10" t="s">
        <v>15</v>
      </c>
    </row>
    <row r="16" spans="1:5" ht="15.75" thickBot="1" x14ac:dyDescent="0.3">
      <c r="B16" s="9" t="s">
        <v>16</v>
      </c>
      <c r="C16" s="9" t="s">
        <v>154</v>
      </c>
      <c r="D16" s="9">
        <v>564</v>
      </c>
      <c r="E16" s="9">
        <v>564</v>
      </c>
    </row>
    <row r="19" spans="1:7" ht="15.75" thickBot="1" x14ac:dyDescent="0.3">
      <c r="A19" t="s">
        <v>18</v>
      </c>
    </row>
    <row r="20" spans="1:7" ht="15.75" thickBot="1" x14ac:dyDescent="0.3">
      <c r="B20" s="10" t="s">
        <v>12</v>
      </c>
      <c r="C20" s="10" t="s">
        <v>13</v>
      </c>
      <c r="D20" s="10" t="s">
        <v>14</v>
      </c>
      <c r="E20" s="10" t="s">
        <v>15</v>
      </c>
      <c r="F20" s="10" t="s">
        <v>19</v>
      </c>
    </row>
    <row r="21" spans="1:7" x14ac:dyDescent="0.25">
      <c r="B21" s="11" t="s">
        <v>41</v>
      </c>
      <c r="C21" s="11" t="s">
        <v>176</v>
      </c>
      <c r="D21" s="11">
        <v>1</v>
      </c>
      <c r="E21" s="11">
        <v>1</v>
      </c>
      <c r="F21" s="11" t="s">
        <v>19</v>
      </c>
    </row>
    <row r="22" spans="1:7" ht="15.75" thickBot="1" x14ac:dyDescent="0.3">
      <c r="B22" s="9" t="s">
        <v>43</v>
      </c>
      <c r="C22" s="9" t="s">
        <v>177</v>
      </c>
      <c r="D22" s="9">
        <v>0</v>
      </c>
      <c r="E22" s="9">
        <v>0</v>
      </c>
      <c r="F22" s="9" t="s">
        <v>19</v>
      </c>
    </row>
    <row r="25" spans="1:7" ht="15.75" thickBot="1" x14ac:dyDescent="0.3">
      <c r="A25" t="s">
        <v>61</v>
      </c>
    </row>
    <row r="26" spans="1:7" ht="15.75" thickBot="1" x14ac:dyDescent="0.3">
      <c r="B26" s="10" t="s">
        <v>12</v>
      </c>
      <c r="C26" s="10" t="s">
        <v>13</v>
      </c>
      <c r="D26" s="10" t="s">
        <v>62</v>
      </c>
      <c r="E26" s="10" t="s">
        <v>63</v>
      </c>
      <c r="F26" s="10" t="s">
        <v>64</v>
      </c>
      <c r="G26" s="10" t="s">
        <v>65</v>
      </c>
    </row>
    <row r="27" spans="1:7" x14ac:dyDescent="0.25">
      <c r="B27" s="11" t="s">
        <v>91</v>
      </c>
      <c r="C27" s="11" t="s">
        <v>92</v>
      </c>
      <c r="D27" s="11">
        <v>1</v>
      </c>
      <c r="E27" s="11" t="s">
        <v>93</v>
      </c>
      <c r="F27" s="11" t="s">
        <v>69</v>
      </c>
      <c r="G27" s="11">
        <v>0</v>
      </c>
    </row>
    <row r="28" spans="1:7" x14ac:dyDescent="0.25">
      <c r="B28" s="11" t="s">
        <v>94</v>
      </c>
      <c r="C28" s="11" t="s">
        <v>95</v>
      </c>
      <c r="D28" s="11">
        <v>1</v>
      </c>
      <c r="E28" s="11" t="s">
        <v>96</v>
      </c>
      <c r="F28" s="11" t="s">
        <v>69</v>
      </c>
      <c r="G28" s="11">
        <v>0</v>
      </c>
    </row>
    <row r="29" spans="1:7" x14ac:dyDescent="0.25">
      <c r="B29" s="11" t="s">
        <v>97</v>
      </c>
      <c r="C29" s="11" t="s">
        <v>98</v>
      </c>
      <c r="D29" s="11">
        <v>1</v>
      </c>
      <c r="E29" s="11" t="s">
        <v>99</v>
      </c>
      <c r="F29" s="11" t="s">
        <v>69</v>
      </c>
      <c r="G29" s="11">
        <v>0</v>
      </c>
    </row>
    <row r="30" spans="1:7" x14ac:dyDescent="0.25">
      <c r="B30" s="11" t="s">
        <v>100</v>
      </c>
      <c r="C30" s="11" t="s">
        <v>101</v>
      </c>
      <c r="D30" s="11">
        <v>1</v>
      </c>
      <c r="E30" s="11" t="s">
        <v>102</v>
      </c>
      <c r="F30" s="11" t="s">
        <v>69</v>
      </c>
      <c r="G30" s="11">
        <v>0</v>
      </c>
    </row>
    <row r="31" spans="1:7" x14ac:dyDescent="0.25">
      <c r="B31" s="11" t="s">
        <v>103</v>
      </c>
      <c r="C31" s="11" t="s">
        <v>104</v>
      </c>
      <c r="D31" s="11">
        <v>1</v>
      </c>
      <c r="E31" s="11" t="s">
        <v>105</v>
      </c>
      <c r="F31" s="11" t="s">
        <v>69</v>
      </c>
      <c r="G31" s="11">
        <v>0</v>
      </c>
    </row>
    <row r="32" spans="1:7" x14ac:dyDescent="0.25">
      <c r="B32" s="11" t="s">
        <v>41</v>
      </c>
      <c r="C32" s="11" t="s">
        <v>176</v>
      </c>
      <c r="D32" s="11">
        <v>1</v>
      </c>
      <c r="E32" s="11" t="s">
        <v>75</v>
      </c>
      <c r="F32" s="11" t="s">
        <v>69</v>
      </c>
      <c r="G32" s="11">
        <v>0</v>
      </c>
    </row>
    <row r="33" spans="2:7" x14ac:dyDescent="0.25">
      <c r="B33" s="11" t="s">
        <v>41</v>
      </c>
      <c r="C33" s="11" t="s">
        <v>176</v>
      </c>
      <c r="D33" s="11">
        <v>1</v>
      </c>
      <c r="E33" s="11" t="s">
        <v>178</v>
      </c>
      <c r="F33" s="11" t="s">
        <v>69</v>
      </c>
      <c r="G33" s="11">
        <v>0</v>
      </c>
    </row>
    <row r="34" spans="2:7" x14ac:dyDescent="0.25">
      <c r="B34" s="11" t="s">
        <v>43</v>
      </c>
      <c r="C34" s="11" t="s">
        <v>177</v>
      </c>
      <c r="D34" s="11">
        <v>0</v>
      </c>
      <c r="E34" s="11" t="s">
        <v>179</v>
      </c>
      <c r="F34" s="11" t="s">
        <v>69</v>
      </c>
      <c r="G34" s="11">
        <v>0</v>
      </c>
    </row>
    <row r="35" spans="2:7" x14ac:dyDescent="0.25">
      <c r="B35" s="11" t="s">
        <v>43</v>
      </c>
      <c r="C35" s="11" t="s">
        <v>177</v>
      </c>
      <c r="D35" s="11">
        <v>0</v>
      </c>
      <c r="E35" s="11" t="s">
        <v>77</v>
      </c>
      <c r="F35" s="11" t="s">
        <v>69</v>
      </c>
      <c r="G35" s="11">
        <v>0</v>
      </c>
    </row>
    <row r="36" spans="2:7" ht="15.75" thickBot="1" x14ac:dyDescent="0.3">
      <c r="B36" s="9" t="s">
        <v>180</v>
      </c>
      <c r="C36" s="9"/>
      <c r="D36" s="9"/>
      <c r="E36" s="9"/>
      <c r="F36" s="9"/>
      <c r="G36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7"/>
  <sheetViews>
    <sheetView tabSelected="1" view="pageBreakPreview" zoomScale="90" zoomScaleNormal="100" zoomScaleSheetLayoutView="90" workbookViewId="0">
      <selection activeCell="H25" sqref="H25"/>
    </sheetView>
  </sheetViews>
  <sheetFormatPr defaultRowHeight="15" x14ac:dyDescent="0.25"/>
  <cols>
    <col min="1" max="1" width="28.7109375" customWidth="1"/>
    <col min="2" max="3" width="12" customWidth="1"/>
    <col min="4" max="4" width="17.140625" customWidth="1"/>
    <col min="5" max="5" width="23.42578125" customWidth="1"/>
    <col min="6" max="6" width="44.140625" customWidth="1"/>
    <col min="7" max="7" width="26.140625" customWidth="1"/>
    <col min="8" max="8" width="28.42578125" customWidth="1"/>
    <col min="9" max="27" width="15" customWidth="1"/>
  </cols>
  <sheetData>
    <row r="1" spans="1:27" ht="18" thickBot="1" x14ac:dyDescent="0.35">
      <c r="A1" s="13" t="s">
        <v>147</v>
      </c>
      <c r="B1" s="13" t="s">
        <v>148</v>
      </c>
      <c r="C1" s="13" t="s">
        <v>149</v>
      </c>
      <c r="D1" s="13" t="s">
        <v>168</v>
      </c>
      <c r="E1" s="13" t="s">
        <v>151</v>
      </c>
      <c r="F1" s="13" t="s">
        <v>152</v>
      </c>
      <c r="G1" s="13" t="s">
        <v>153</v>
      </c>
      <c r="H1" s="13" t="s">
        <v>154</v>
      </c>
      <c r="I1" s="14" t="s">
        <v>92</v>
      </c>
      <c r="J1" s="14" t="s">
        <v>95</v>
      </c>
      <c r="K1" s="14" t="s">
        <v>98</v>
      </c>
      <c r="L1" s="14" t="s">
        <v>101</v>
      </c>
      <c r="M1" s="14" t="s">
        <v>104</v>
      </c>
      <c r="N1" s="14" t="s">
        <v>107</v>
      </c>
      <c r="O1" s="14" t="s">
        <v>110</v>
      </c>
      <c r="P1" s="14" t="s">
        <v>113</v>
      </c>
      <c r="Q1" s="14" t="s">
        <v>116</v>
      </c>
      <c r="R1" s="14" t="s">
        <v>119</v>
      </c>
      <c r="S1" s="14" t="s">
        <v>122</v>
      </c>
      <c r="T1" s="14" t="s">
        <v>125</v>
      </c>
      <c r="U1" s="14" t="s">
        <v>128</v>
      </c>
      <c r="V1" s="14" t="s">
        <v>131</v>
      </c>
      <c r="W1" s="14" t="s">
        <v>134</v>
      </c>
      <c r="X1" s="14" t="s">
        <v>137</v>
      </c>
      <c r="Y1" s="14" t="s">
        <v>140</v>
      </c>
      <c r="Z1" s="14" t="s">
        <v>143</v>
      </c>
      <c r="AA1" s="14" t="s">
        <v>67</v>
      </c>
    </row>
    <row r="2" spans="1:27" ht="15.75" thickTop="1" x14ac:dyDescent="0.25">
      <c r="A2" t="s">
        <v>169</v>
      </c>
      <c r="B2" s="3">
        <v>80</v>
      </c>
      <c r="C2" s="3">
        <v>0.8</v>
      </c>
      <c r="D2" s="4">
        <v>1</v>
      </c>
      <c r="E2" s="4">
        <v>1</v>
      </c>
      <c r="F2" s="5">
        <f t="shared" ref="F2:F3" si="0">B2*C2*D2</f>
        <v>64</v>
      </c>
      <c r="G2" s="5">
        <f t="shared" ref="G2:G3" si="1">500*E2</f>
        <v>500</v>
      </c>
      <c r="H2" s="5">
        <f t="shared" ref="H2:H3" si="2">F2+G2</f>
        <v>564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0</v>
      </c>
      <c r="R2" s="2">
        <v>1</v>
      </c>
      <c r="S2" s="2">
        <v>1</v>
      </c>
      <c r="T2" s="2">
        <v>1</v>
      </c>
      <c r="U2" s="2">
        <v>1</v>
      </c>
      <c r="V2" s="2">
        <v>1</v>
      </c>
      <c r="W2" s="2">
        <v>1</v>
      </c>
      <c r="X2" s="2">
        <v>1</v>
      </c>
      <c r="Y2" s="2">
        <v>1</v>
      </c>
      <c r="Z2" s="2">
        <v>0</v>
      </c>
      <c r="AA2" s="2">
        <v>0</v>
      </c>
    </row>
    <row r="3" spans="1:27" x14ac:dyDescent="0.25">
      <c r="A3" t="s">
        <v>170</v>
      </c>
      <c r="B3" s="3">
        <v>90</v>
      </c>
      <c r="C3" s="3">
        <v>0.9</v>
      </c>
      <c r="D3" s="4">
        <v>0</v>
      </c>
      <c r="E3" s="4">
        <v>0</v>
      </c>
      <c r="F3" s="5">
        <f t="shared" si="0"/>
        <v>0</v>
      </c>
      <c r="G3" s="5">
        <f t="shared" si="1"/>
        <v>0</v>
      </c>
      <c r="H3" s="5">
        <f t="shared" si="2"/>
        <v>0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1</v>
      </c>
      <c r="P3" s="2">
        <v>1</v>
      </c>
      <c r="Q3" s="2">
        <v>0</v>
      </c>
      <c r="R3" s="2">
        <v>1</v>
      </c>
      <c r="S3" s="2">
        <v>1</v>
      </c>
      <c r="T3" s="2">
        <v>1</v>
      </c>
      <c r="U3" s="2">
        <v>1</v>
      </c>
      <c r="V3" s="2">
        <v>1</v>
      </c>
      <c r="W3" s="2">
        <v>1</v>
      </c>
      <c r="X3" s="2">
        <v>1</v>
      </c>
      <c r="Y3" s="2">
        <v>1</v>
      </c>
      <c r="Z3" s="2">
        <v>0</v>
      </c>
      <c r="AA3" s="2">
        <v>0</v>
      </c>
    </row>
    <row r="4" spans="1:27" x14ac:dyDescent="0.25">
      <c r="B4" s="3"/>
      <c r="C4" s="3"/>
      <c r="D4" s="4">
        <v>0</v>
      </c>
      <c r="E4" s="4">
        <v>0</v>
      </c>
      <c r="F4" s="5"/>
      <c r="G4" s="5"/>
      <c r="H4" s="5"/>
    </row>
    <row r="5" spans="1:27" x14ac:dyDescent="0.25">
      <c r="B5" s="3"/>
      <c r="C5" s="3"/>
      <c r="D5" s="4">
        <v>0</v>
      </c>
      <c r="E5" s="4">
        <v>0</v>
      </c>
      <c r="F5" s="5"/>
      <c r="G5" s="5"/>
      <c r="H5" s="5"/>
    </row>
    <row r="6" spans="1:27" x14ac:dyDescent="0.25">
      <c r="B6" s="3"/>
      <c r="C6" s="3"/>
      <c r="D6" s="4">
        <v>0</v>
      </c>
      <c r="E6" s="4">
        <v>0</v>
      </c>
      <c r="F6" s="5"/>
      <c r="G6" s="5"/>
      <c r="H6" s="5"/>
    </row>
    <row r="7" spans="1:27" x14ac:dyDescent="0.25">
      <c r="B7" s="3"/>
      <c r="C7" s="3"/>
      <c r="D7" s="4">
        <v>0</v>
      </c>
      <c r="E7" s="4">
        <v>0</v>
      </c>
      <c r="F7" s="5"/>
      <c r="G7" s="5"/>
      <c r="H7" s="5"/>
    </row>
    <row r="8" spans="1:27" x14ac:dyDescent="0.25">
      <c r="B8" s="3"/>
      <c r="C8" s="3"/>
      <c r="D8" s="4">
        <v>0</v>
      </c>
      <c r="E8" s="4">
        <v>0</v>
      </c>
      <c r="F8" s="5"/>
      <c r="G8" s="5"/>
      <c r="H8" s="5"/>
    </row>
    <row r="9" spans="1:27" x14ac:dyDescent="0.25">
      <c r="B9" s="3"/>
      <c r="C9" s="3"/>
      <c r="D9" s="4">
        <v>0</v>
      </c>
      <c r="E9" s="4">
        <v>0</v>
      </c>
      <c r="F9" s="5"/>
      <c r="G9" s="5"/>
      <c r="H9" s="5"/>
    </row>
    <row r="10" spans="1:27" x14ac:dyDescent="0.25">
      <c r="B10" s="3"/>
      <c r="C10" s="3"/>
      <c r="D10" s="4">
        <v>0</v>
      </c>
      <c r="E10" s="4">
        <v>0</v>
      </c>
      <c r="F10" s="5"/>
      <c r="G10" s="5"/>
      <c r="H10" s="5"/>
    </row>
    <row r="11" spans="1:27" x14ac:dyDescent="0.25">
      <c r="B11" s="3"/>
      <c r="C11" s="3"/>
      <c r="D11" s="4">
        <v>0</v>
      </c>
      <c r="E11" s="4">
        <v>0</v>
      </c>
      <c r="F11" s="5"/>
      <c r="G11" s="5"/>
      <c r="H11" s="5"/>
    </row>
    <row r="15" spans="1:27" x14ac:dyDescent="0.25">
      <c r="F15" s="6">
        <f>SUM(F2:F3)</f>
        <v>64</v>
      </c>
      <c r="G15" s="7">
        <f>SUM(G2:G3)</f>
        <v>500</v>
      </c>
      <c r="H15" s="15">
        <f>F15+G15</f>
        <v>564</v>
      </c>
    </row>
    <row r="16" spans="1:27" x14ac:dyDescent="0.25">
      <c r="F16" s="12" t="s">
        <v>165</v>
      </c>
      <c r="G16" s="12" t="s">
        <v>166</v>
      </c>
      <c r="H16" s="12" t="s">
        <v>167</v>
      </c>
    </row>
    <row r="17" spans="9:13" x14ac:dyDescent="0.25">
      <c r="I17" s="16">
        <f>I2*D2+I3*D3</f>
        <v>1</v>
      </c>
      <c r="J17" s="16">
        <f>J2*D2+J3*D3</f>
        <v>1</v>
      </c>
      <c r="K17" s="16">
        <f>K2*D2+K3*D3</f>
        <v>1</v>
      </c>
      <c r="L17" s="16">
        <f>L2*D2+L3*D3</f>
        <v>1</v>
      </c>
      <c r="M17" s="16">
        <f>M2*D2+M3*D3</f>
        <v>1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Answer Report 1</vt:lpstr>
      <vt:lpstr>Weekday Model</vt:lpstr>
      <vt:lpstr>Answer Report 2</vt:lpstr>
      <vt:lpstr>Weekend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Balaji Sai Tolapu</cp:lastModifiedBy>
  <dcterms:created xsi:type="dcterms:W3CDTF">2025-04-27T11:49:24Z</dcterms:created>
  <dcterms:modified xsi:type="dcterms:W3CDTF">2025-05-07T06:14:03Z</dcterms:modified>
</cp:coreProperties>
</file>